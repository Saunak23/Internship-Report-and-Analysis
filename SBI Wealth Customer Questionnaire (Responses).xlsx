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:\C Drive\Document File\SBI Summer Internship\"/>
    </mc:Choice>
  </mc:AlternateContent>
  <xr:revisionPtr revIDLastSave="0" documentId="13_ncr:1_{9C2D1ECF-AFC2-49F5-B50B-83DEA40B489A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Form responses 1" sheetId="1" r:id="rId1"/>
    <sheet name="Summary Analysis" sheetId="2" r:id="rId2"/>
  </sheets>
  <calcPr calcId="181029"/>
</workbook>
</file>

<file path=xl/calcChain.xml><?xml version="1.0" encoding="utf-8"?>
<calcChain xmlns="http://schemas.openxmlformats.org/spreadsheetml/2006/main">
  <c r="C11" i="2" l="1"/>
  <c r="C7" i="2"/>
  <c r="C8" i="2"/>
  <c r="C12" i="2"/>
  <c r="C10" i="2"/>
  <c r="C9" i="2"/>
  <c r="C6" i="2"/>
  <c r="C5" i="2"/>
  <c r="C4" i="2"/>
  <c r="C3" i="2"/>
</calcChain>
</file>

<file path=xl/sharedStrings.xml><?xml version="1.0" encoding="utf-8"?>
<sst xmlns="http://schemas.openxmlformats.org/spreadsheetml/2006/main" count="102" uniqueCount="38">
  <si>
    <t>Customer Name</t>
  </si>
  <si>
    <t xml:space="preserve">Would you advise your Friends / Relatives to join / Shift to SBI Wealth? </t>
  </si>
  <si>
    <t xml:space="preserve">How important is the Relationship Manager in your wealth journey?  </t>
  </si>
  <si>
    <t>How often do you engage with your Relationship Manager?</t>
  </si>
  <si>
    <t xml:space="preserve">Has the Relationship Manager guided you as well as your family through  Personalized / niche products, life goals? </t>
  </si>
  <si>
    <t xml:space="preserve">Are you able to customize your MF Funds whenever required with the help of the Relationship Manager? </t>
  </si>
  <si>
    <t>Pankaj Kumar</t>
  </si>
  <si>
    <t>Yes</t>
  </si>
  <si>
    <t>Manoj Kumar</t>
  </si>
  <si>
    <t>No</t>
  </si>
  <si>
    <t xml:space="preserve">Anil Sharma </t>
  </si>
  <si>
    <t xml:space="preserve">Abhishek Shrivastava </t>
  </si>
  <si>
    <t>Sarthak Nanda</t>
  </si>
  <si>
    <t>Yashovardhan Singh</t>
  </si>
  <si>
    <t xml:space="preserve">Yash Sharma </t>
  </si>
  <si>
    <t>Yashovardhan Pawar</t>
  </si>
  <si>
    <t>Wealth Survey Summary</t>
  </si>
  <si>
    <t>Total Responses</t>
  </si>
  <si>
    <t>RM Advisory Quality</t>
  </si>
  <si>
    <t>Digital Experience</t>
  </si>
  <si>
    <t>Service Convenience</t>
  </si>
  <si>
    <t>Recommnedation Rate (Yes%)</t>
  </si>
  <si>
    <t>Importance of RM in wealth journey</t>
  </si>
  <si>
    <t>Client Engagement Frequency</t>
  </si>
  <si>
    <t>Mutual Fund Customization (Yes%)</t>
  </si>
  <si>
    <t>Results</t>
  </si>
  <si>
    <t>Rahul Sharma</t>
  </si>
  <si>
    <t>Sachin Nishad</t>
  </si>
  <si>
    <t>Praveen Mishra</t>
  </si>
  <si>
    <t>Nitin Rana</t>
  </si>
  <si>
    <t>Akshat Garg</t>
  </si>
  <si>
    <t>Mohit Verma</t>
  </si>
  <si>
    <t>SBI Wealth Retention Rate</t>
  </si>
  <si>
    <t>RM Personalized Services Recommendation</t>
  </si>
  <si>
    <t>Would you switch to another platform providing better service?</t>
  </si>
  <si>
    <t>Jagdish Baswala</t>
  </si>
  <si>
    <t>Baljeet Chopra</t>
  </si>
  <si>
    <t>Relationship Manager Advisory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</si>
</sst>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Times New Roman"/>
      <family val="1"/>
    </font>
    <font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442F65"/>
      </bottom>
      <diagonal/>
    </border>
    <border>
      <left style="medium">
        <color indexed="64"/>
      </left>
      <right style="medium">
        <color indexed="64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medium">
        <color indexed="64"/>
      </right>
      <top style="thin">
        <color rgb="FFF8F9FA"/>
      </top>
      <bottom style="thin">
        <color rgb="FFF8F9FA"/>
      </bottom>
      <diagonal/>
    </border>
    <border>
      <left style="medium">
        <color indexed="64"/>
      </left>
      <right style="medium">
        <color indexed="64"/>
      </right>
      <top style="thin">
        <color rgb="FFF8F9FA"/>
      </top>
      <bottom/>
      <diagonal/>
    </border>
    <border>
      <left/>
      <right style="medium">
        <color indexed="64"/>
      </right>
      <top/>
      <bottom style="thin">
        <color rgb="FF442F65"/>
      </bottom>
      <diagonal/>
    </border>
    <border>
      <left/>
      <right style="medium">
        <color indexed="64"/>
      </right>
      <top style="thin">
        <color rgb="FFFFFFFF"/>
      </top>
      <bottom style="thin">
        <color rgb="FFFFFFFF"/>
      </bottom>
      <diagonal/>
    </border>
    <border>
      <left/>
      <right style="medium">
        <color indexed="64"/>
      </right>
      <top style="thin">
        <color rgb="FFF8F9FA"/>
      </top>
      <bottom style="thin">
        <color rgb="FFF8F9FA"/>
      </bottom>
      <diagonal/>
    </border>
    <border>
      <left/>
      <right style="medium">
        <color indexed="64"/>
      </right>
      <top style="thin">
        <color rgb="FFF8F9FA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8F9FA"/>
      </top>
      <bottom style="thin">
        <color rgb="FFF8F9FA"/>
      </bottom>
      <diagonal/>
    </border>
    <border>
      <left/>
      <right/>
      <top style="thin">
        <color rgb="FFF8F9FA"/>
      </top>
      <bottom/>
      <diagonal/>
    </border>
    <border>
      <left/>
      <right/>
      <top/>
      <bottom style="thin">
        <color rgb="FF442F65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2" fillId="0" borderId="15" xfId="0" applyFont="1" applyBorder="1"/>
    <xf numFmtId="0" fontId="2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2" borderId="7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14">
    <dxf>
      <alignment horizont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alignment horizont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alignment horizont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minor"/>
      </font>
      <alignment horizont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alignment horizont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alignment horizont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alignment horizont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name val="Arial"/>
        <scheme val="minor"/>
      </font>
      <alignment horizont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alignment horizont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20000"/>
                    <a:lumOff val="80000"/>
                  </a:schemeClr>
                </a:solidFill>
              </a:rPr>
              <a:t>Average Score Per Question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solidFill>
                <a:schemeClr val="accent1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'Summary Analysis'!$B$4:$B$12</c:f>
              <c:strCache>
                <c:ptCount val="9"/>
                <c:pt idx="0">
                  <c:v>RM Advisory Quality</c:v>
                </c:pt>
                <c:pt idx="1">
                  <c:v>Digital Experience</c:v>
                </c:pt>
                <c:pt idx="2">
                  <c:v>Service Convenience</c:v>
                </c:pt>
                <c:pt idx="3">
                  <c:v>SBI Wealth Retention Rate</c:v>
                </c:pt>
                <c:pt idx="4">
                  <c:v>Recommnedation Rate (Yes%)</c:v>
                </c:pt>
                <c:pt idx="5">
                  <c:v>Importance of RM in wealth journey</c:v>
                </c:pt>
                <c:pt idx="6">
                  <c:v>Client Engagement Frequency</c:v>
                </c:pt>
                <c:pt idx="7">
                  <c:v>RM Personalized Services Recommendation</c:v>
                </c:pt>
                <c:pt idx="8">
                  <c:v>Mutual Fund Customization (Yes%)</c:v>
                </c:pt>
              </c:strCache>
            </c:strRef>
          </c:cat>
          <c:val>
            <c:numRef>
              <c:f>'Summary Analysis'!$C$4:$C$12</c:f>
              <c:numCache>
                <c:formatCode>0.0</c:formatCode>
                <c:ptCount val="9"/>
                <c:pt idx="0">
                  <c:v>3.75</c:v>
                </c:pt>
                <c:pt idx="1">
                  <c:v>3.625</c:v>
                </c:pt>
                <c:pt idx="2">
                  <c:v>3.375</c:v>
                </c:pt>
                <c:pt idx="3">
                  <c:v>3.4375</c:v>
                </c:pt>
                <c:pt idx="4">
                  <c:v>3.125</c:v>
                </c:pt>
                <c:pt idx="5">
                  <c:v>3</c:v>
                </c:pt>
                <c:pt idx="6">
                  <c:v>2</c:v>
                </c:pt>
                <c:pt idx="7">
                  <c:v>2.8125</c:v>
                </c:pt>
                <c:pt idx="8">
                  <c:v>2.8125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F-4321-8793-628D1DF33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336656"/>
        <c:axId val="1643317936"/>
      </c:radarChart>
      <c:catAx>
        <c:axId val="164333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17936"/>
        <c:crosses val="autoZero"/>
        <c:auto val="1"/>
        <c:lblAlgn val="ctr"/>
        <c:lblOffset val="100"/>
        <c:noMultiLvlLbl val="0"/>
      </c:catAx>
      <c:valAx>
        <c:axId val="164331793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3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1">
                    <a:lumMod val="20000"/>
                    <a:lumOff val="80000"/>
                  </a:schemeClr>
                </a:solidFill>
              </a:rPr>
              <a:t>Customer</a:t>
            </a:r>
            <a:r>
              <a:rPr lang="en-IN" baseline="0">
                <a:solidFill>
                  <a:schemeClr val="accent1">
                    <a:lumMod val="20000"/>
                    <a:lumOff val="80000"/>
                  </a:schemeClr>
                </a:solidFill>
              </a:rPr>
              <a:t> Survey Avg Score Per Question</a:t>
            </a:r>
            <a:endParaRPr lang="en-IN">
              <a:solidFill>
                <a:schemeClr val="accent1">
                  <a:lumMod val="20000"/>
                  <a:lumOff val="8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accent1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Analysis'!$B$4:$B$12</c:f>
              <c:strCache>
                <c:ptCount val="9"/>
                <c:pt idx="0">
                  <c:v>RM Advisory Quality</c:v>
                </c:pt>
                <c:pt idx="1">
                  <c:v>Digital Experience</c:v>
                </c:pt>
                <c:pt idx="2">
                  <c:v>Service Convenience</c:v>
                </c:pt>
                <c:pt idx="3">
                  <c:v>SBI Wealth Retention Rate</c:v>
                </c:pt>
                <c:pt idx="4">
                  <c:v>Recommnedation Rate (Yes%)</c:v>
                </c:pt>
                <c:pt idx="5">
                  <c:v>Importance of RM in wealth journey</c:v>
                </c:pt>
                <c:pt idx="6">
                  <c:v>Client Engagement Frequency</c:v>
                </c:pt>
                <c:pt idx="7">
                  <c:v>RM Personalized Services Recommendation</c:v>
                </c:pt>
                <c:pt idx="8">
                  <c:v>Mutual Fund Customization (Yes%)</c:v>
                </c:pt>
              </c:strCache>
            </c:strRef>
          </c:cat>
          <c:val>
            <c:numRef>
              <c:f>'Summary Analysis'!$C$4:$C$12</c:f>
              <c:numCache>
                <c:formatCode>0.0</c:formatCode>
                <c:ptCount val="9"/>
                <c:pt idx="0">
                  <c:v>3.75</c:v>
                </c:pt>
                <c:pt idx="1">
                  <c:v>3.625</c:v>
                </c:pt>
                <c:pt idx="2">
                  <c:v>3.375</c:v>
                </c:pt>
                <c:pt idx="3">
                  <c:v>3.4375</c:v>
                </c:pt>
                <c:pt idx="4">
                  <c:v>3.125</c:v>
                </c:pt>
                <c:pt idx="5">
                  <c:v>3</c:v>
                </c:pt>
                <c:pt idx="6">
                  <c:v>2</c:v>
                </c:pt>
                <c:pt idx="7">
                  <c:v>2.8125</c:v>
                </c:pt>
                <c:pt idx="8">
                  <c:v>2.8125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59-4166-B5A0-FE49A48C4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3293936"/>
        <c:axId val="1643285776"/>
      </c:lineChart>
      <c:catAx>
        <c:axId val="16432939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285776"/>
        <c:crosses val="autoZero"/>
        <c:auto val="1"/>
        <c:lblAlgn val="ctr"/>
        <c:lblOffset val="100"/>
        <c:noMultiLvlLbl val="0"/>
      </c:catAx>
      <c:valAx>
        <c:axId val="164328577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29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183983</xdr:colOff>
      <xdr:row>14</xdr:row>
      <xdr:rowOff>118310</xdr:rowOff>
    </xdr:from>
    <xdr:to>
      <xdr:col>14</xdr:col>
      <xdr:colOff>489116</xdr:colOff>
      <xdr:row>32</xdr:row>
      <xdr:rowOff>2005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E34D3-3B9B-8264-BBEA-C2CCB57F8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352424</xdr:colOff>
      <xdr:row>14</xdr:row>
      <xdr:rowOff>107950</xdr:rowOff>
    </xdr:from>
    <xdr:to>
      <xdr:col>7</xdr:col>
      <xdr:colOff>146050</xdr:colOff>
      <xdr:row>31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43BB6D-D736-5B37-2E29-AD4F48C2B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B2:K18" headerRowDxfId="10" tableBorderDxfId="9">
  <tableColumns count="10">
    <tableColumn id="2" xr3:uid="{00000000-0010-0000-0000-000002000000}" name="Customer Name"/>
    <tableColumn id="3" xr3:uid="{00000000-0010-0000-0000-000003000000}" name="Relationship Manager Advisory Quality" dataDxfId="7"/>
    <tableColumn id="4" xr3:uid="{00000000-0010-0000-0000-000004000000}" name="Digital Experience" dataDxfId="6"/>
    <tableColumn id="5" xr3:uid="{00000000-0010-0000-0000-000005000000}" name="Service Convenience" dataDxfId="5"/>
    <tableColumn id="7" xr3:uid="{00000000-0010-0000-0000-000007000000}" name="Would you switch to another platform providing better service?" dataDxfId="4"/>
    <tableColumn id="8" xr3:uid="{00000000-0010-0000-0000-000008000000}" name="Would you advise your Friends / Relatives to join / Shift to SBI Wealth? " dataDxfId="3"/>
    <tableColumn id="9" xr3:uid="{00000000-0010-0000-0000-000009000000}" name="How important is the Relationship Manager in your wealth journey?  " dataDxfId="2"/>
    <tableColumn id="10" xr3:uid="{00000000-0010-0000-0000-00000A000000}" name="How often do you engage with your Relationship Manager?" dataDxfId="1"/>
    <tableColumn id="11" xr3:uid="{00000000-0010-0000-0000-00000B000000}" name="Has the Relationship Manager guided you as well as your family through  Personalized / niche products, life goals? " dataDxfId="0"/>
    <tableColumn id="12" xr3:uid="{00000000-0010-0000-0000-00000C000000}" name="Are you able to customize your MF Funds whenever required with the help of the Relationship Manager? " dataDxfId="8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6"/>
  <sheetViews>
    <sheetView zoomScale="88" zoomScaleNormal="88" workbookViewId="0">
      <pane ySplit="2" topLeftCell="A3" activePane="bottomLeft" state="frozen"/>
      <selection pane="bottomLeft" activeCell="M7" sqref="M7"/>
    </sheetView>
  </sheetViews>
  <sheetFormatPr defaultColWidth="12.6328125" defaultRowHeight="15.75" customHeight="1" x14ac:dyDescent="0.25"/>
  <cols>
    <col min="2" max="2" width="18.54296875" customWidth="1"/>
    <col min="3" max="3" width="9.7265625" style="12" customWidth="1"/>
    <col min="4" max="4" width="9.08984375" customWidth="1"/>
    <col min="5" max="5" width="10.36328125" customWidth="1"/>
    <col min="6" max="6" width="11.81640625" customWidth="1"/>
    <col min="7" max="7" width="11.08984375" customWidth="1"/>
    <col min="8" max="8" width="12" customWidth="1"/>
    <col min="9" max="9" width="10.1796875" customWidth="1"/>
    <col min="10" max="10" width="16.26953125" customWidth="1"/>
    <col min="11" max="11" width="16.81640625" customWidth="1"/>
    <col min="12" max="17" width="18.90625" customWidth="1"/>
  </cols>
  <sheetData>
    <row r="1" spans="1:11" ht="15.75" customHeight="1" thickBot="1" x14ac:dyDescent="0.3"/>
    <row r="2" spans="1:11" s="1" customFormat="1" ht="70.5" customHeight="1" thickBot="1" x14ac:dyDescent="0.3">
      <c r="A2"/>
      <c r="B2" s="41" t="s">
        <v>0</v>
      </c>
      <c r="C2" s="26" t="s">
        <v>37</v>
      </c>
      <c r="D2" s="27" t="s">
        <v>19</v>
      </c>
      <c r="E2" s="27" t="s">
        <v>20</v>
      </c>
      <c r="F2" s="33" t="s">
        <v>34</v>
      </c>
      <c r="G2" s="27" t="s">
        <v>1</v>
      </c>
      <c r="H2" s="27" t="s">
        <v>2</v>
      </c>
      <c r="I2" s="27" t="s">
        <v>3</v>
      </c>
      <c r="J2" s="40" t="s">
        <v>4</v>
      </c>
      <c r="K2" s="39" t="s">
        <v>5</v>
      </c>
    </row>
    <row r="3" spans="1:11" ht="15.75" customHeight="1" x14ac:dyDescent="0.25">
      <c r="B3" s="13" t="s">
        <v>6</v>
      </c>
      <c r="C3" s="20">
        <v>5</v>
      </c>
      <c r="D3" s="28">
        <v>3</v>
      </c>
      <c r="E3" s="28">
        <v>5</v>
      </c>
      <c r="F3" s="28" t="s">
        <v>9</v>
      </c>
      <c r="G3" s="22" t="s">
        <v>7</v>
      </c>
      <c r="H3" s="28">
        <v>3</v>
      </c>
      <c r="I3" s="28">
        <v>1</v>
      </c>
      <c r="J3" s="38" t="s">
        <v>9</v>
      </c>
      <c r="K3" s="35" t="s">
        <v>7</v>
      </c>
    </row>
    <row r="4" spans="1:11" ht="15.75" customHeight="1" x14ac:dyDescent="0.25">
      <c r="B4" s="14" t="s">
        <v>8</v>
      </c>
      <c r="C4" s="21">
        <v>4</v>
      </c>
      <c r="D4" s="29">
        <v>3</v>
      </c>
      <c r="E4" s="29">
        <v>3</v>
      </c>
      <c r="F4" s="29" t="s">
        <v>9</v>
      </c>
      <c r="G4" s="21" t="s">
        <v>9</v>
      </c>
      <c r="H4" s="29">
        <v>3</v>
      </c>
      <c r="I4" s="29">
        <v>3</v>
      </c>
      <c r="J4" s="29" t="s">
        <v>9</v>
      </c>
      <c r="K4" s="36" t="s">
        <v>7</v>
      </c>
    </row>
    <row r="5" spans="1:11" ht="15.75" customHeight="1" x14ac:dyDescent="0.25">
      <c r="B5" s="13" t="s">
        <v>10</v>
      </c>
      <c r="C5" s="22">
        <v>3</v>
      </c>
      <c r="D5" s="28">
        <v>4</v>
      </c>
      <c r="E5" s="28">
        <v>3</v>
      </c>
      <c r="F5" s="28" t="s">
        <v>9</v>
      </c>
      <c r="G5" s="22" t="s">
        <v>9</v>
      </c>
      <c r="H5" s="28">
        <v>2</v>
      </c>
      <c r="I5" s="28">
        <v>3</v>
      </c>
      <c r="J5" s="28" t="s">
        <v>7</v>
      </c>
      <c r="K5" s="35" t="s">
        <v>9</v>
      </c>
    </row>
    <row r="6" spans="1:11" ht="15.75" customHeight="1" x14ac:dyDescent="0.25">
      <c r="B6" s="14" t="s">
        <v>35</v>
      </c>
      <c r="C6" s="21">
        <v>4</v>
      </c>
      <c r="D6" s="29">
        <v>3</v>
      </c>
      <c r="E6" s="29">
        <v>4</v>
      </c>
      <c r="F6" s="29" t="s">
        <v>7</v>
      </c>
      <c r="G6" s="21" t="s">
        <v>7</v>
      </c>
      <c r="H6" s="29">
        <v>3</v>
      </c>
      <c r="I6" s="29">
        <v>2</v>
      </c>
      <c r="J6" s="29" t="s">
        <v>7</v>
      </c>
      <c r="K6" s="36" t="s">
        <v>7</v>
      </c>
    </row>
    <row r="7" spans="1:11" ht="15.75" customHeight="1" x14ac:dyDescent="0.25">
      <c r="B7" s="13" t="s">
        <v>11</v>
      </c>
      <c r="C7" s="22">
        <v>3</v>
      </c>
      <c r="D7" s="28">
        <v>3</v>
      </c>
      <c r="E7" s="28">
        <v>3</v>
      </c>
      <c r="F7" s="28" t="s">
        <v>7</v>
      </c>
      <c r="G7" s="22" t="s">
        <v>9</v>
      </c>
      <c r="H7" s="28">
        <v>2</v>
      </c>
      <c r="I7" s="28">
        <v>2</v>
      </c>
      <c r="J7" s="28" t="s">
        <v>9</v>
      </c>
      <c r="K7" s="35" t="s">
        <v>9</v>
      </c>
    </row>
    <row r="8" spans="1:11" ht="15.75" customHeight="1" x14ac:dyDescent="0.25">
      <c r="B8" s="14" t="s">
        <v>12</v>
      </c>
      <c r="C8" s="21">
        <v>3</v>
      </c>
      <c r="D8" s="29">
        <v>4</v>
      </c>
      <c r="E8" s="29">
        <v>2</v>
      </c>
      <c r="F8" s="29" t="s">
        <v>9</v>
      </c>
      <c r="G8" s="21" t="s">
        <v>7</v>
      </c>
      <c r="H8" s="29">
        <v>2</v>
      </c>
      <c r="I8" s="29">
        <v>2</v>
      </c>
      <c r="J8" s="29" t="s">
        <v>9</v>
      </c>
      <c r="K8" s="36" t="s">
        <v>9</v>
      </c>
    </row>
    <row r="9" spans="1:11" ht="15.75" customHeight="1" x14ac:dyDescent="0.25">
      <c r="B9" s="13" t="s">
        <v>13</v>
      </c>
      <c r="C9" s="22">
        <v>4</v>
      </c>
      <c r="D9" s="28">
        <v>5</v>
      </c>
      <c r="E9" s="28">
        <v>4</v>
      </c>
      <c r="F9" s="28" t="s">
        <v>9</v>
      </c>
      <c r="G9" s="22" t="s">
        <v>7</v>
      </c>
      <c r="H9" s="28">
        <v>3</v>
      </c>
      <c r="I9" s="28">
        <v>2</v>
      </c>
      <c r="J9" s="28" t="s">
        <v>9</v>
      </c>
      <c r="K9" s="35" t="s">
        <v>7</v>
      </c>
    </row>
    <row r="10" spans="1:11" ht="15.75" customHeight="1" x14ac:dyDescent="0.25">
      <c r="B10" s="14" t="s">
        <v>36</v>
      </c>
      <c r="C10" s="21">
        <v>3</v>
      </c>
      <c r="D10" s="29">
        <v>3</v>
      </c>
      <c r="E10" s="29">
        <v>2</v>
      </c>
      <c r="F10" s="29" t="s">
        <v>9</v>
      </c>
      <c r="G10" s="21" t="s">
        <v>7</v>
      </c>
      <c r="H10" s="29">
        <v>2</v>
      </c>
      <c r="I10" s="29">
        <v>3</v>
      </c>
      <c r="J10" s="29" t="s">
        <v>7</v>
      </c>
      <c r="K10" s="36" t="s">
        <v>9</v>
      </c>
    </row>
    <row r="11" spans="1:11" ht="15.75" customHeight="1" x14ac:dyDescent="0.25">
      <c r="B11" s="13" t="s">
        <v>14</v>
      </c>
      <c r="C11" s="22">
        <v>4</v>
      </c>
      <c r="D11" s="28">
        <v>5</v>
      </c>
      <c r="E11" s="28">
        <v>5</v>
      </c>
      <c r="F11" s="28" t="s">
        <v>9</v>
      </c>
      <c r="G11" s="22" t="s">
        <v>7</v>
      </c>
      <c r="H11" s="28">
        <v>3</v>
      </c>
      <c r="I11" s="28">
        <v>1</v>
      </c>
      <c r="J11" s="28" t="s">
        <v>9</v>
      </c>
      <c r="K11" s="35" t="s">
        <v>7</v>
      </c>
    </row>
    <row r="12" spans="1:11" ht="15.75" customHeight="1" x14ac:dyDescent="0.25">
      <c r="B12" s="15" t="s">
        <v>26</v>
      </c>
      <c r="C12" s="23">
        <v>4</v>
      </c>
      <c r="D12" s="30">
        <v>4</v>
      </c>
      <c r="E12" s="30">
        <v>3</v>
      </c>
      <c r="F12" s="30" t="s">
        <v>9</v>
      </c>
      <c r="G12" s="23" t="s">
        <v>7</v>
      </c>
      <c r="H12" s="30">
        <v>2</v>
      </c>
      <c r="I12" s="30">
        <v>2</v>
      </c>
      <c r="J12" s="30" t="s">
        <v>7</v>
      </c>
      <c r="K12" s="16" t="s">
        <v>7</v>
      </c>
    </row>
    <row r="13" spans="1:11" ht="15.75" customHeight="1" x14ac:dyDescent="0.25">
      <c r="B13" s="15" t="s">
        <v>27</v>
      </c>
      <c r="C13" s="23">
        <v>3</v>
      </c>
      <c r="D13" s="30">
        <v>3</v>
      </c>
      <c r="E13" s="30">
        <v>3</v>
      </c>
      <c r="F13" s="30" t="s">
        <v>7</v>
      </c>
      <c r="G13" s="23" t="s">
        <v>9</v>
      </c>
      <c r="H13" s="30">
        <v>2</v>
      </c>
      <c r="I13" s="30">
        <v>1</v>
      </c>
      <c r="J13" s="30" t="s">
        <v>7</v>
      </c>
      <c r="K13" s="16" t="s">
        <v>9</v>
      </c>
    </row>
    <row r="14" spans="1:11" ht="15.75" customHeight="1" x14ac:dyDescent="0.25">
      <c r="B14" s="15" t="s">
        <v>28</v>
      </c>
      <c r="C14" s="23">
        <v>4</v>
      </c>
      <c r="D14" s="30">
        <v>4</v>
      </c>
      <c r="E14" s="30">
        <v>4</v>
      </c>
      <c r="F14" s="30" t="s">
        <v>9</v>
      </c>
      <c r="G14" s="23" t="s">
        <v>7</v>
      </c>
      <c r="H14" s="30">
        <v>3</v>
      </c>
      <c r="I14" s="30">
        <v>1</v>
      </c>
      <c r="J14" s="30" t="s">
        <v>9</v>
      </c>
      <c r="K14" s="16" t="s">
        <v>7</v>
      </c>
    </row>
    <row r="15" spans="1:11" ht="15.75" customHeight="1" x14ac:dyDescent="0.25">
      <c r="B15" s="15" t="s">
        <v>29</v>
      </c>
      <c r="C15" s="23">
        <v>4</v>
      </c>
      <c r="D15" s="30">
        <v>3</v>
      </c>
      <c r="E15" s="30">
        <v>3</v>
      </c>
      <c r="F15" s="30" t="s">
        <v>7</v>
      </c>
      <c r="G15" s="23" t="s">
        <v>9</v>
      </c>
      <c r="H15" s="30">
        <v>3</v>
      </c>
      <c r="I15" s="30">
        <v>2</v>
      </c>
      <c r="J15" s="30" t="s">
        <v>7</v>
      </c>
      <c r="K15" s="16" t="s">
        <v>9</v>
      </c>
    </row>
    <row r="16" spans="1:11" ht="15.75" customHeight="1" x14ac:dyDescent="0.25">
      <c r="B16" s="15" t="s">
        <v>30</v>
      </c>
      <c r="C16" s="23">
        <v>3</v>
      </c>
      <c r="D16" s="30">
        <v>3</v>
      </c>
      <c r="E16" s="30">
        <v>2</v>
      </c>
      <c r="F16" s="30" t="s">
        <v>7</v>
      </c>
      <c r="G16" s="23" t="s">
        <v>9</v>
      </c>
      <c r="H16" s="30">
        <v>2</v>
      </c>
      <c r="I16" s="30">
        <v>2</v>
      </c>
      <c r="J16" s="30" t="s">
        <v>7</v>
      </c>
      <c r="K16" s="16" t="s">
        <v>9</v>
      </c>
    </row>
    <row r="17" spans="2:11" ht="15.75" customHeight="1" thickBot="1" x14ac:dyDescent="0.3">
      <c r="B17" s="17" t="s">
        <v>15</v>
      </c>
      <c r="C17" s="24">
        <v>5</v>
      </c>
      <c r="D17" s="31">
        <v>4</v>
      </c>
      <c r="E17" s="31">
        <v>4</v>
      </c>
      <c r="F17" s="31" t="s">
        <v>9</v>
      </c>
      <c r="G17" s="24" t="s">
        <v>7</v>
      </c>
      <c r="H17" s="31">
        <v>3</v>
      </c>
      <c r="I17" s="31">
        <v>1</v>
      </c>
      <c r="J17" s="31" t="s">
        <v>7</v>
      </c>
      <c r="K17" s="37" t="s">
        <v>7</v>
      </c>
    </row>
    <row r="18" spans="2:11" ht="15.75" customHeight="1" thickBot="1" x14ac:dyDescent="0.3">
      <c r="B18" s="18" t="s">
        <v>31</v>
      </c>
      <c r="C18" s="25">
        <v>4</v>
      </c>
      <c r="D18" s="32">
        <v>4</v>
      </c>
      <c r="E18" s="32">
        <v>4</v>
      </c>
      <c r="F18" s="34" t="s">
        <v>9</v>
      </c>
      <c r="G18" s="25" t="s">
        <v>7</v>
      </c>
      <c r="H18" s="32">
        <v>3</v>
      </c>
      <c r="I18" s="32">
        <v>1</v>
      </c>
      <c r="J18" s="34" t="s">
        <v>7</v>
      </c>
      <c r="K18" s="19" t="s">
        <v>7</v>
      </c>
    </row>
    <row r="19" spans="2:11" ht="15.75" customHeight="1" x14ac:dyDescent="0.25">
      <c r="C19" s="11"/>
      <c r="D19" s="2"/>
      <c r="E19" s="2"/>
      <c r="G19" s="2"/>
      <c r="H19" s="2"/>
      <c r="I19" s="2"/>
      <c r="J19" s="2"/>
      <c r="K19" s="2"/>
    </row>
    <row r="20" spans="2:11" ht="15.75" customHeight="1" x14ac:dyDescent="0.25">
      <c r="C20" s="11"/>
      <c r="D20" s="2"/>
      <c r="E20" s="2"/>
      <c r="G20" s="2"/>
      <c r="H20" s="2"/>
      <c r="I20" s="2"/>
      <c r="J20" s="2"/>
      <c r="K20" s="2"/>
    </row>
    <row r="21" spans="2:11" ht="15.75" customHeight="1" x14ac:dyDescent="0.25">
      <c r="C21" s="11"/>
      <c r="D21" s="2"/>
      <c r="E21" s="2"/>
      <c r="G21" s="2"/>
      <c r="H21" s="2"/>
      <c r="I21" s="2"/>
      <c r="K21" s="2"/>
    </row>
    <row r="22" spans="2:11" ht="15.75" customHeight="1" x14ac:dyDescent="0.25">
      <c r="C22" s="11"/>
      <c r="D22" s="2"/>
      <c r="E22" s="2"/>
      <c r="G22" s="2"/>
      <c r="H22" s="2"/>
      <c r="I22" s="2"/>
      <c r="K22" s="2"/>
    </row>
    <row r="23" spans="2:11" ht="15.75" customHeight="1" x14ac:dyDescent="0.25">
      <c r="C23" s="11"/>
      <c r="D23" s="2"/>
      <c r="E23" s="2"/>
      <c r="G23" s="2"/>
      <c r="H23" s="2"/>
      <c r="I23" s="2"/>
      <c r="K23" s="2"/>
    </row>
    <row r="24" spans="2:11" ht="15.75" customHeight="1" x14ac:dyDescent="0.25">
      <c r="C24" s="11"/>
      <c r="D24" s="2"/>
      <c r="E24" s="2"/>
      <c r="G24" s="2"/>
      <c r="H24" s="2"/>
      <c r="I24" s="2"/>
      <c r="K24" s="2"/>
    </row>
    <row r="25" spans="2:11" ht="15.75" customHeight="1" x14ac:dyDescent="0.25">
      <c r="C25" s="11"/>
      <c r="D25" s="2"/>
      <c r="E25" s="2"/>
      <c r="G25" s="2"/>
      <c r="H25" s="2"/>
      <c r="I25" s="2"/>
      <c r="K25" s="2"/>
    </row>
    <row r="26" spans="2:11" ht="15.75" customHeight="1" x14ac:dyDescent="0.25">
      <c r="C26" s="11"/>
      <c r="D26" s="2"/>
      <c r="E26" s="2"/>
      <c r="G26" s="2"/>
      <c r="H26" s="2"/>
      <c r="I26" s="2"/>
      <c r="K26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922B-B012-40C4-A75E-7F352C303C02}">
  <dimension ref="B1:C12"/>
  <sheetViews>
    <sheetView tabSelected="1" topLeftCell="A7" zoomScale="87" zoomScaleNormal="87" workbookViewId="0">
      <selection activeCell="N12" sqref="N12"/>
    </sheetView>
  </sheetViews>
  <sheetFormatPr defaultRowHeight="12.5" x14ac:dyDescent="0.25"/>
  <cols>
    <col min="2" max="2" width="36.453125" customWidth="1"/>
    <col min="3" max="3" width="10.08984375" customWidth="1"/>
  </cols>
  <sheetData>
    <row r="1" spans="2:3" ht="13" thickBot="1" x14ac:dyDescent="0.3"/>
    <row r="2" spans="2:3" ht="20" customHeight="1" thickBot="1" x14ac:dyDescent="0.35">
      <c r="B2" s="3" t="s">
        <v>16</v>
      </c>
      <c r="C2" s="6" t="s">
        <v>25</v>
      </c>
    </row>
    <row r="3" spans="2:3" ht="21" customHeight="1" thickBot="1" x14ac:dyDescent="0.3">
      <c r="B3" s="7" t="s">
        <v>17</v>
      </c>
      <c r="C3" s="8">
        <f>COUNTA('Form responses 1'!B3:B26)</f>
        <v>16</v>
      </c>
    </row>
    <row r="4" spans="2:3" ht="18.5" customHeight="1" x14ac:dyDescent="0.25">
      <c r="B4" s="4" t="s">
        <v>18</v>
      </c>
      <c r="C4" s="9">
        <f>AVERAGE('Form responses 1'!C3:C26)</f>
        <v>3.75</v>
      </c>
    </row>
    <row r="5" spans="2:3" ht="19.5" customHeight="1" x14ac:dyDescent="0.25">
      <c r="B5" s="4" t="s">
        <v>19</v>
      </c>
      <c r="C5" s="9">
        <f>AVERAGE('Form responses 1'!D3:D26)</f>
        <v>3.625</v>
      </c>
    </row>
    <row r="6" spans="2:3" ht="19" customHeight="1" x14ac:dyDescent="0.25">
      <c r="B6" s="4" t="s">
        <v>20</v>
      </c>
      <c r="C6" s="9">
        <f>AVERAGE('Form responses 1'!E3:E26)</f>
        <v>3.375</v>
      </c>
    </row>
    <row r="7" spans="2:3" ht="19" customHeight="1" x14ac:dyDescent="0.25">
      <c r="B7" s="4" t="s">
        <v>32</v>
      </c>
      <c r="C7" s="9">
        <f>(COUNTIF('Form responses 1'!F3:F21,"No")/COUNTA('Form responses 1'!F3:F21))*5</f>
        <v>3.4375</v>
      </c>
    </row>
    <row r="8" spans="2:3" ht="22" customHeight="1" x14ac:dyDescent="0.25">
      <c r="B8" s="4" t="s">
        <v>21</v>
      </c>
      <c r="C8" s="9">
        <f>(COUNTIF('Form responses 1'!G3:G26,"Yes")/COUNTA('Form responses 1'!G3:G26))*5</f>
        <v>3.125</v>
      </c>
    </row>
    <row r="9" spans="2:3" ht="20" customHeight="1" x14ac:dyDescent="0.25">
      <c r="B9" s="4" t="s">
        <v>22</v>
      </c>
      <c r="C9" s="9">
        <f>MODE('Form responses 1'!H3:H26)</f>
        <v>3</v>
      </c>
    </row>
    <row r="10" spans="2:3" ht="20.5" customHeight="1" x14ac:dyDescent="0.25">
      <c r="B10" s="4" t="s">
        <v>23</v>
      </c>
      <c r="C10" s="9">
        <f>MODE('Form responses 1'!I3:I26)</f>
        <v>2</v>
      </c>
    </row>
    <row r="11" spans="2:3" ht="20.5" customHeight="1" x14ac:dyDescent="0.25">
      <c r="B11" s="4" t="s">
        <v>33</v>
      </c>
      <c r="C11" s="9">
        <f>(COUNTIF('Form responses 1'!J5:J21,"Yes")/COUNTA('Form responses 1'!J3:J21))*5</f>
        <v>2.8125</v>
      </c>
    </row>
    <row r="12" spans="2:3" ht="19.5" customHeight="1" thickBot="1" x14ac:dyDescent="0.3">
      <c r="B12" s="5" t="s">
        <v>24</v>
      </c>
      <c r="C12" s="10">
        <f>(COUNTIF('Form responses 1'!K3:K26,"Yes")/COUNTA('Form responses 1'!K3:K26))*5</f>
        <v>2.8125</v>
      </c>
    </row>
  </sheetData>
  <conditionalFormatting sqref="B4:C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">
    <cfRule type="colorScale" priority="1">
      <colorScale>
        <cfvo type="percentile" val="30"/>
        <cfvo type="percentile" val="60"/>
        <cfvo type="percentile" val="8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Summary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MANOJ KUMAR RATH</cp:lastModifiedBy>
  <dcterms:modified xsi:type="dcterms:W3CDTF">2025-06-26T11:15:45Z</dcterms:modified>
</cp:coreProperties>
</file>