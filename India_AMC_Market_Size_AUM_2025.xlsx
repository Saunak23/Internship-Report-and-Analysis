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C Drive\Document File\SBI Summer Internship\"/>
    </mc:Choice>
  </mc:AlternateContent>
  <xr:revisionPtr revIDLastSave="0" documentId="13_ncr:1_{2D8F2FF2-FC9D-4CE8-A40F-FEDFC56B879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utual Fund Market " sheetId="1" r:id="rId1"/>
    <sheet name="SIP Trends" sheetId="4" r:id="rId2"/>
    <sheet name="MF AUM History" sheetId="5" r:id="rId3"/>
    <sheet name="Wealth Market" sheetId="3" r:id="rId4"/>
    <sheet name="PMS Market" sheetId="2" r:id="rId5"/>
    <sheet name="PMS AUM History" sheetId="7" r:id="rId6"/>
    <sheet name="Demat acc" sheetId="8" r:id="rId7"/>
    <sheet name="Wealth Mgmt Demand" sheetId="9" r:id="rId8"/>
    <sheet name="T30 vs B30" sheetId="12" r:id="rId9"/>
    <sheet name="SBI AMC VS Industry" sheetId="13" r:id="rId10"/>
    <sheet name="SBI AMC VS HDFC AMC" sheetId="14" r:id="rId11"/>
    <sheet name="Financials" sheetId="15" r:id="rId12"/>
    <sheet name="Sheet1" sheetId="16" r:id="rId13"/>
  </sheets>
  <calcPr calcId="181029"/>
</workbook>
</file>

<file path=xl/calcChain.xml><?xml version="1.0" encoding="utf-8"?>
<calcChain xmlns="http://schemas.openxmlformats.org/spreadsheetml/2006/main">
  <c r="E5" i="12" l="1"/>
  <c r="E6" i="12"/>
  <c r="E7" i="12"/>
  <c r="E8" i="12"/>
  <c r="E4" i="12"/>
  <c r="D7" i="4"/>
  <c r="C7" i="4"/>
  <c r="K37" i="1"/>
  <c r="L37" i="1"/>
  <c r="E10" i="3"/>
  <c r="E11" i="3"/>
  <c r="E12" i="3"/>
  <c r="E13" i="3"/>
  <c r="E14" i="3"/>
  <c r="E15" i="3"/>
  <c r="E8" i="3"/>
  <c r="E4" i="3"/>
  <c r="E5" i="3"/>
  <c r="E6" i="3"/>
  <c r="E7" i="3"/>
  <c r="E3" i="3"/>
  <c r="D18" i="3"/>
  <c r="D9" i="3" s="1"/>
  <c r="E13" i="2"/>
  <c r="E14" i="2"/>
  <c r="E15" i="2"/>
  <c r="E12" i="2"/>
  <c r="E9" i="1"/>
  <c r="D9" i="1"/>
  <c r="E18" i="3" l="1"/>
  <c r="E9" i="3" s="1"/>
</calcChain>
</file>

<file path=xl/sharedStrings.xml><?xml version="1.0" encoding="utf-8"?>
<sst xmlns="http://schemas.openxmlformats.org/spreadsheetml/2006/main" count="172" uniqueCount="130">
  <si>
    <t>Rank</t>
  </si>
  <si>
    <t>Asset Management Company</t>
  </si>
  <si>
    <t>SBI Funds Management Ltd.</t>
  </si>
  <si>
    <t>ICICI Prudential Asset Management Company Ltd.</t>
  </si>
  <si>
    <t>HDFC Asset Management Company Ltd.</t>
  </si>
  <si>
    <t>Nippon Life India Asset Management Ltd.</t>
  </si>
  <si>
    <t>Kotak Mahindra Asset Management Company Ltd.</t>
  </si>
  <si>
    <t>Aditya Birla Sun Life Asset Management Company Ltd.</t>
  </si>
  <si>
    <t>UTI Asset Management Company Ltd.</t>
  </si>
  <si>
    <t>Axis Asset Management Company Ltd.</t>
  </si>
  <si>
    <t>Mirae Asset Investment Managers (India) Pvt. Ltd.</t>
  </si>
  <si>
    <t>Tata Asset Management Ltd.</t>
  </si>
  <si>
    <t>Bandhan Asset Management Company Ltd.</t>
  </si>
  <si>
    <t>Edelweiss Asset Management Ltd.</t>
  </si>
  <si>
    <t>DSP Asset Managers Pvt. Ltd.</t>
  </si>
  <si>
    <t>HSBC Asset Management (India) Pvt. Ltd.</t>
  </si>
  <si>
    <t>Invesco Asset Management (India) Pvt. Ltd.</t>
  </si>
  <si>
    <t>Canara Robeco Asset Management Co. Ltd.</t>
  </si>
  <si>
    <t>PPFAS Asset Management Pvt. Ltd.</t>
  </si>
  <si>
    <t>Franklin Templeton Asset Management (India) Pvt. Ltd.</t>
  </si>
  <si>
    <t>Motilal Oswal Asset Management Co. Ltd.</t>
  </si>
  <si>
    <t>Quant Money Managers Ltd.</t>
  </si>
  <si>
    <t>Market Share (%)</t>
  </si>
  <si>
    <t>PMC Provider</t>
  </si>
  <si>
    <t>AUM (₹ Crore) as in Mar 2025</t>
  </si>
  <si>
    <t>Darashaw &amp; Company</t>
  </si>
  <si>
    <t>Source:- APMI (Association of Portfolio Managers in India)</t>
  </si>
  <si>
    <t>360 ONE Asset Management Company Ltd.</t>
  </si>
  <si>
    <t>360 ONE Portfolio Managers</t>
  </si>
  <si>
    <t xml:space="preserve">Total MF AUM </t>
  </si>
  <si>
    <t>Others</t>
  </si>
  <si>
    <t>Motilal Oswal Asset Management Company</t>
  </si>
  <si>
    <t xml:space="preserve">Nuvama Asset Management </t>
  </si>
  <si>
    <t>Kotak Mahindra Asset Management Company</t>
  </si>
  <si>
    <t>HDFC Asset Management Company</t>
  </si>
  <si>
    <t>Total AUM: 37 LAKH CRORE</t>
  </si>
  <si>
    <t>Wealth Service Provider</t>
  </si>
  <si>
    <t>AUM (US $B)</t>
  </si>
  <si>
    <t>ICICI Bank Pvt. Banking</t>
  </si>
  <si>
    <t>HDFC Bank Pvt. Banking</t>
  </si>
  <si>
    <t xml:space="preserve">Kotak Mahindra Wealth Management </t>
  </si>
  <si>
    <t xml:space="preserve">Axis Bank Wealth Management </t>
  </si>
  <si>
    <t>IIFL Wealth Management</t>
  </si>
  <si>
    <t>SBI Wealth Management</t>
  </si>
  <si>
    <t>Edelweiss Wealth Management</t>
  </si>
  <si>
    <t>Induslnd Wealth Management</t>
  </si>
  <si>
    <t>Motilal Oswal Wealth Management</t>
  </si>
  <si>
    <t>Aditya Birla Wealth Management</t>
  </si>
  <si>
    <t>JM Financial Wealth Management</t>
  </si>
  <si>
    <t>IDFC First Bank Wealth Management</t>
  </si>
  <si>
    <t xml:space="preserve">Total AUM </t>
  </si>
  <si>
    <t>AUM (₹ Crore) as in May 2025</t>
  </si>
  <si>
    <t>SIP Stats</t>
  </si>
  <si>
    <t>No. of contributing SIP accounts (Rs crore)</t>
  </si>
  <si>
    <t>Steady stream of contributions to SIPs throughout the year (Rs crore)</t>
  </si>
  <si>
    <t>SIP yearly contributions (Rs lakh crore)</t>
  </si>
  <si>
    <t>SIP assets (Rs lakh crore)</t>
  </si>
  <si>
    <t>SIP assets as a % of industry assets</t>
  </si>
  <si>
    <t>Year</t>
  </si>
  <si>
    <t>MF Industry AUM (₹  Trillion)</t>
  </si>
  <si>
    <t>FY17</t>
  </si>
  <si>
    <t>FY24</t>
  </si>
  <si>
    <t>No. of Demat Accounts (in Million)</t>
  </si>
  <si>
    <t>Expected Demand in AUM (US$ Trillion)</t>
  </si>
  <si>
    <t>AUM (in US$ Billion)</t>
  </si>
  <si>
    <t xml:space="preserve">FY 24 </t>
  </si>
  <si>
    <t>FY 29</t>
  </si>
  <si>
    <t>Geographical split of mutual fund AUM</t>
  </si>
  <si>
    <t>T30</t>
  </si>
  <si>
    <t>B30</t>
  </si>
  <si>
    <t>Years</t>
  </si>
  <si>
    <t>Deposits</t>
  </si>
  <si>
    <t>Savings Deposits</t>
  </si>
  <si>
    <t>Term Deposits</t>
  </si>
  <si>
    <t>Key Indicators</t>
  </si>
  <si>
    <t>Face Value/ Share</t>
  </si>
  <si>
    <t>PE Ratio</t>
  </si>
  <si>
    <t>Price / Sales</t>
  </si>
  <si>
    <t>Dividend/ Share</t>
  </si>
  <si>
    <t>Return on Equity (ROE)</t>
  </si>
  <si>
    <t>Return on Assets (ROA)</t>
  </si>
  <si>
    <t>EPS</t>
  </si>
  <si>
    <t>Rs. 1</t>
  </si>
  <si>
    <t>Price / Book value (P/B)</t>
  </si>
  <si>
    <t>Market Cap (Rs. Crore)</t>
  </si>
  <si>
    <t>Rs.4</t>
  </si>
  <si>
    <t>ROCE</t>
  </si>
  <si>
    <t>Profitability Margin %</t>
  </si>
  <si>
    <t>Dividend Yield %</t>
  </si>
  <si>
    <t>HDFC AMC</t>
  </si>
  <si>
    <t>Book Value/ Share (in Rs.)</t>
  </si>
  <si>
    <t>Current Ratio</t>
  </si>
  <si>
    <t>Dividend Payout</t>
  </si>
  <si>
    <t>Rs. 5</t>
  </si>
  <si>
    <t>Industry</t>
  </si>
  <si>
    <t>Rs. 90</t>
  </si>
  <si>
    <t>Operating Margin %</t>
  </si>
  <si>
    <t>Net Profit Margin%</t>
  </si>
  <si>
    <t>EBITDA Margin%</t>
  </si>
  <si>
    <t>EV/ EBITDA</t>
  </si>
  <si>
    <t>EV/ Revenue</t>
  </si>
  <si>
    <t xml:space="preserve">Asset Turnover </t>
  </si>
  <si>
    <t>SBI AMC (Unlisted)</t>
  </si>
  <si>
    <t xml:space="preserve">Financials </t>
  </si>
  <si>
    <t>Revenue Growth%</t>
  </si>
  <si>
    <t>Trading Valuation</t>
  </si>
  <si>
    <t>PAT Growth%</t>
  </si>
  <si>
    <t>SBI AMC</t>
  </si>
  <si>
    <t>Gross Profit Ratio</t>
  </si>
  <si>
    <t>Asset Turnover Ratio</t>
  </si>
  <si>
    <t>Rs. 133.27</t>
  </si>
  <si>
    <t>Rs. 317.63</t>
  </si>
  <si>
    <t>Rs. 138089.53</t>
  </si>
  <si>
    <t>Rs. 106184.7</t>
  </si>
  <si>
    <t>Dividend/ Share (in Rs.)</t>
  </si>
  <si>
    <t>Return on Assets (ROA) %</t>
  </si>
  <si>
    <t>Return on Equity (ROE) %</t>
  </si>
  <si>
    <t>Asset Turnover Ratio %</t>
  </si>
  <si>
    <t>ROCE %</t>
  </si>
  <si>
    <t>Dividend Payout %</t>
  </si>
  <si>
    <t>Asset Turnover %</t>
  </si>
  <si>
    <t xml:space="preserve">Net Interest Margin </t>
  </si>
  <si>
    <t>Net Profit Ratio %</t>
  </si>
  <si>
    <t>Revenue Growth %</t>
  </si>
  <si>
    <t>EBITDA Margin %</t>
  </si>
  <si>
    <t>Net Cash Flow</t>
  </si>
  <si>
    <t>Net Profit (in Cr)</t>
  </si>
  <si>
    <t>Customer Survey Summary</t>
  </si>
  <si>
    <t>RM Survey Summary</t>
  </si>
  <si>
    <t>Other Banks Survey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</si>
</sst>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0">
    <xf numFmtId="0" fontId="0" fillId="0" borderId="0" xfId="0"/>
    <xf numFmtId="10" fontId="0" fillId="0" borderId="0" xfId="0" applyNumberFormat="1"/>
    <xf numFmtId="0" fontId="0" fillId="2" borderId="0" xfId="0" applyFill="1"/>
    <xf numFmtId="0" fontId="0" fillId="3" borderId="5" xfId="0" applyFill="1" applyBorder="1"/>
    <xf numFmtId="0" fontId="0" fillId="3" borderId="7" xfId="0" applyFill="1" applyBorder="1"/>
    <xf numFmtId="0" fontId="1" fillId="4" borderId="1" xfId="0" applyFont="1" applyFill="1" applyBorder="1" applyAlignment="1">
      <alignment horizontal="center" vertical="top"/>
    </xf>
    <xf numFmtId="0" fontId="1" fillId="4" borderId="8" xfId="0" applyFont="1" applyFill="1" applyBorder="1" applyAlignment="1">
      <alignment horizontal="center" vertical="top"/>
    </xf>
    <xf numFmtId="4" fontId="0" fillId="3" borderId="7" xfId="0" applyNumberFormat="1" applyFill="1" applyBorder="1" applyAlignment="1">
      <alignment horizontal="center"/>
    </xf>
    <xf numFmtId="0" fontId="0" fillId="5" borderId="6" xfId="0" applyFill="1" applyBorder="1"/>
    <xf numFmtId="4" fontId="0" fillId="5" borderId="6" xfId="0" applyNumberFormat="1" applyFill="1" applyBorder="1" applyAlignment="1">
      <alignment horizontal="center"/>
    </xf>
    <xf numFmtId="10" fontId="0" fillId="5" borderId="2" xfId="0" applyNumberFormat="1" applyFill="1" applyBorder="1" applyAlignment="1">
      <alignment horizontal="center"/>
    </xf>
    <xf numFmtId="4" fontId="0" fillId="5" borderId="6" xfId="0" applyNumberFormat="1" applyFill="1" applyBorder="1" applyAlignment="1">
      <alignment horizontal="center" vertical="center" wrapText="1"/>
    </xf>
    <xf numFmtId="10" fontId="0" fillId="5" borderId="2" xfId="0" applyNumberFormat="1" applyFill="1" applyBorder="1" applyAlignment="1">
      <alignment horizontal="center" vertical="center" wrapText="1"/>
    </xf>
    <xf numFmtId="0" fontId="0" fillId="5" borderId="7" xfId="0" applyFill="1" applyBorder="1"/>
    <xf numFmtId="4" fontId="0" fillId="5" borderId="7" xfId="0" applyNumberFormat="1" applyFill="1" applyBorder="1" applyAlignment="1">
      <alignment horizontal="center"/>
    </xf>
    <xf numFmtId="10" fontId="0" fillId="5" borderId="3" xfId="0" applyNumberFormat="1" applyFill="1" applyBorder="1" applyAlignment="1">
      <alignment horizontal="center"/>
    </xf>
    <xf numFmtId="3" fontId="0" fillId="3" borderId="5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5" borderId="2" xfId="0" applyNumberFormat="1" applyFill="1" applyBorder="1" applyAlignment="1">
      <alignment horizontal="center" vertical="center" wrapText="1"/>
    </xf>
    <xf numFmtId="164" fontId="0" fillId="3" borderId="3" xfId="0" applyNumberFormat="1" applyFill="1" applyBorder="1" applyAlignment="1">
      <alignment horizontal="center"/>
    </xf>
    <xf numFmtId="164" fontId="0" fillId="5" borderId="3" xfId="0" applyNumberFormat="1" applyFill="1" applyBorder="1" applyAlignment="1">
      <alignment horizontal="center" vertical="center" wrapText="1"/>
    </xf>
    <xf numFmtId="0" fontId="0" fillId="0" borderId="9" xfId="0" applyBorder="1"/>
    <xf numFmtId="0" fontId="0" fillId="5" borderId="10" xfId="0" applyFill="1" applyBorder="1"/>
    <xf numFmtId="164" fontId="0" fillId="5" borderId="2" xfId="0" applyNumberFormat="1" applyFill="1" applyBorder="1" applyAlignment="1">
      <alignment horizontal="center"/>
    </xf>
    <xf numFmtId="4" fontId="0" fillId="5" borderId="7" xfId="0" applyNumberFormat="1" applyFill="1" applyBorder="1" applyAlignment="1">
      <alignment horizontal="center" vertical="center" wrapText="1"/>
    </xf>
    <xf numFmtId="0" fontId="0" fillId="5" borderId="11" xfId="0" applyFill="1" applyBorder="1"/>
    <xf numFmtId="0" fontId="0" fillId="5" borderId="2" xfId="0" applyFill="1" applyBorder="1"/>
    <xf numFmtId="0" fontId="0" fillId="3" borderId="0" xfId="0" applyFill="1"/>
    <xf numFmtId="0" fontId="1" fillId="3" borderId="6" xfId="0" applyFont="1" applyFill="1" applyBorder="1"/>
    <xf numFmtId="0" fontId="1" fillId="3" borderId="0" xfId="0" applyFont="1" applyFill="1"/>
    <xf numFmtId="1" fontId="0" fillId="5" borderId="6" xfId="0" applyNumberFormat="1" applyFill="1" applyBorder="1" applyAlignment="1">
      <alignment horizontal="center"/>
    </xf>
    <xf numFmtId="164" fontId="0" fillId="5" borderId="4" xfId="0" applyNumberFormat="1" applyFill="1" applyBorder="1" applyAlignment="1">
      <alignment horizontal="center" vertical="center" wrapText="1"/>
    </xf>
    <xf numFmtId="0" fontId="0" fillId="5" borderId="5" xfId="0" applyFill="1" applyBorder="1"/>
    <xf numFmtId="4" fontId="0" fillId="5" borderId="5" xfId="0" applyNumberForma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1" fillId="3" borderId="1" xfId="0" applyFont="1" applyFill="1" applyBorder="1"/>
    <xf numFmtId="1" fontId="1" fillId="3" borderId="1" xfId="0" applyNumberFormat="1" applyFont="1" applyFill="1" applyBorder="1" applyAlignment="1">
      <alignment horizontal="center"/>
    </xf>
    <xf numFmtId="10" fontId="1" fillId="3" borderId="8" xfId="0" applyNumberFormat="1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0" fillId="3" borderId="12" xfId="0" applyFill="1" applyBorder="1"/>
    <xf numFmtId="0" fontId="0" fillId="3" borderId="8" xfId="0" applyFill="1" applyBorder="1"/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/>
    <xf numFmtId="10" fontId="0" fillId="0" borderId="4" xfId="1" applyNumberFormat="1" applyFont="1" applyBorder="1"/>
    <xf numFmtId="10" fontId="0" fillId="5" borderId="4" xfId="1" applyNumberFormat="1" applyFont="1" applyFill="1" applyBorder="1"/>
    <xf numFmtId="10" fontId="1" fillId="5" borderId="8" xfId="1" applyNumberFormat="1" applyFont="1" applyFill="1" applyBorder="1"/>
    <xf numFmtId="10" fontId="0" fillId="0" borderId="0" xfId="1" applyNumberFormat="1" applyFont="1"/>
    <xf numFmtId="10" fontId="0" fillId="3" borderId="4" xfId="1" applyNumberFormat="1" applyFont="1" applyFill="1" applyBorder="1"/>
    <xf numFmtId="3" fontId="1" fillId="3" borderId="1" xfId="0" applyNumberFormat="1" applyFont="1" applyFill="1" applyBorder="1" applyAlignment="1">
      <alignment horizontal="center"/>
    </xf>
    <xf numFmtId="1" fontId="0" fillId="5" borderId="7" xfId="0" applyNumberFormat="1" applyFill="1" applyBorder="1" applyAlignment="1">
      <alignment horizontal="center"/>
    </xf>
    <xf numFmtId="1" fontId="0" fillId="0" borderId="0" xfId="0" applyNumberFormat="1"/>
    <xf numFmtId="0" fontId="3" fillId="3" borderId="1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17" fontId="3" fillId="3" borderId="1" xfId="0" applyNumberFormat="1" applyFont="1" applyFill="1" applyBorder="1" applyAlignment="1">
      <alignment horizontal="center"/>
    </xf>
    <xf numFmtId="17" fontId="3" fillId="3" borderId="8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7" xfId="1" applyNumberFormat="1" applyFont="1" applyFill="1" applyBorder="1" applyAlignment="1">
      <alignment horizontal="center"/>
    </xf>
    <xf numFmtId="2" fontId="4" fillId="4" borderId="3" xfId="1" applyNumberFormat="1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4" fillId="0" borderId="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2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13" xfId="0" applyBorder="1"/>
    <xf numFmtId="17" fontId="0" fillId="0" borderId="6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7" fontId="0" fillId="0" borderId="13" xfId="0" applyNumberFormat="1" applyBorder="1"/>
    <xf numFmtId="9" fontId="0" fillId="0" borderId="1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9" fontId="0" fillId="4" borderId="0" xfId="0" applyNumberFormat="1" applyFill="1" applyAlignment="1">
      <alignment horizontal="center"/>
    </xf>
    <xf numFmtId="9" fontId="0" fillId="4" borderId="2" xfId="0" applyNumberFormat="1" applyFill="1" applyBorder="1" applyAlignment="1">
      <alignment horizontal="center"/>
    </xf>
    <xf numFmtId="10" fontId="0" fillId="4" borderId="2" xfId="0" applyNumberFormat="1" applyFill="1" applyBorder="1" applyAlignment="1">
      <alignment horizontal="center"/>
    </xf>
    <xf numFmtId="9" fontId="0" fillId="4" borderId="16" xfId="0" applyNumberFormat="1" applyFill="1" applyBorder="1" applyAlignment="1">
      <alignment horizontal="center"/>
    </xf>
    <xf numFmtId="9" fontId="0" fillId="4" borderId="3" xfId="0" applyNumberForma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0" fillId="0" borderId="16" xfId="0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1" fillId="2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Mutual Fund AUM (₹ Crore) as in May</a:t>
            </a:r>
            <a:r>
              <a:rPr lang="en-IN" baseline="0"/>
              <a:t> 2025</a:t>
            </a:r>
            <a:endParaRPr lang="en-IN"/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'Mutual Fund Market '!$D$2</c:f>
              <c:strCache>
                <c:ptCount val="1"/>
                <c:pt idx="0">
                  <c:v>AUM (₹ Crore) as in May 2025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solidFill>
                <a:srgbClr val="FFFF00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'Mutual Fund Market '!$B$3:$C$9</c:f>
              <c:multiLvlStrCache>
                <c:ptCount val="7"/>
                <c:lvl>
                  <c:pt idx="0">
                    <c:v>SBI Funds Management Ltd.</c:v>
                  </c:pt>
                  <c:pt idx="1">
                    <c:v>ICICI Prudential Asset Management Company Ltd.</c:v>
                  </c:pt>
                  <c:pt idx="2">
                    <c:v>HDFC Asset Management Company Ltd.</c:v>
                  </c:pt>
                  <c:pt idx="3">
                    <c:v>Nippon Life India Asset Management Ltd.</c:v>
                  </c:pt>
                  <c:pt idx="4">
                    <c:v>Kotak Mahindra Asset Management Company Ltd.</c:v>
                  </c:pt>
                  <c:pt idx="5">
                    <c:v>Aditya Birla Sun Life Asset Management Company Ltd.</c:v>
                  </c:pt>
                  <c:pt idx="6">
                    <c:v>Others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</c:lvl>
              </c:multiLvlStrCache>
            </c:multiLvlStrRef>
          </c:cat>
          <c:val>
            <c:numRef>
              <c:f>'Mutual Fund Market '!$D$3:$D$9</c:f>
              <c:numCache>
                <c:formatCode>0</c:formatCode>
                <c:ptCount val="7"/>
                <c:pt idx="0">
                  <c:v>1114125.71</c:v>
                </c:pt>
                <c:pt idx="1">
                  <c:v>965956.95</c:v>
                </c:pt>
                <c:pt idx="2">
                  <c:v>831984.35</c:v>
                </c:pt>
                <c:pt idx="3">
                  <c:v>603689.89</c:v>
                </c:pt>
                <c:pt idx="4">
                  <c:v>516885.64</c:v>
                </c:pt>
                <c:pt idx="5">
                  <c:v>396506.16</c:v>
                </c:pt>
                <c:pt idx="6">
                  <c:v>2790462.3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B-4947-AD17-42720BFB7E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521905007"/>
        <c:axId val="521876687"/>
        <c:axId val="0"/>
      </c:bar3DChart>
      <c:catAx>
        <c:axId val="5219050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ASSET MANAGEMENT COMPANIES</a:t>
                </a:r>
              </a:p>
            </c:rich>
          </c:tx>
          <c:layout>
            <c:manualLayout>
              <c:xMode val="edge"/>
              <c:yMode val="edge"/>
              <c:x val="1.3671948965689096E-2"/>
              <c:y val="0.19810754424927654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876687"/>
        <c:crosses val="autoZero"/>
        <c:auto val="1"/>
        <c:lblAlgn val="ctr"/>
        <c:lblOffset val="100"/>
        <c:noMultiLvlLbl val="0"/>
      </c:catAx>
      <c:valAx>
        <c:axId val="521876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905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Mutual</a:t>
            </a:r>
            <a:r>
              <a:rPr lang="en-US" baseline="0"/>
              <a:t> Fund AMC </a:t>
            </a:r>
            <a:r>
              <a:rPr lang="en-US"/>
              <a:t>Market Share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'Mutual Fund Market '!$D$2</c:f>
              <c:strCache>
                <c:ptCount val="1"/>
                <c:pt idx="0">
                  <c:v>AUM (₹ Crore) as in May 2025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572-47ED-96B6-6214490DD0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572-47ED-96B6-6214490DD04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572-47ED-96B6-6214490DD04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D572-47ED-96B6-6214490DD04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D572-47ED-96B6-6214490DD04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D572-47ED-96B6-6214490DD04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D572-47ED-96B6-6214490DD04C}"/>
              </c:ext>
            </c:extLst>
          </c:dPt>
          <c:dLbls>
            <c:dLbl>
              <c:idx val="2"/>
              <c:layout>
                <c:manualLayout>
                  <c:x val="5.3519011704144887E-2"/>
                  <c:y val="-0.1311480140811782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572-47ED-96B6-6214490DD04C}"/>
                </c:ext>
              </c:extLst>
            </c:dLbl>
            <c:dLbl>
              <c:idx val="5"/>
              <c:layout>
                <c:manualLayout>
                  <c:x val="-0.16562737574373684"/>
                  <c:y val="-0.238215720665248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572-47ED-96B6-6214490DD04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'Mutual Fund Market '!$C$3:$C$9</c:f>
              <c:strCache>
                <c:ptCount val="7"/>
                <c:pt idx="0">
                  <c:v>SBI Funds Management Ltd.</c:v>
                </c:pt>
                <c:pt idx="1">
                  <c:v>ICICI Prudential Asset Management Company Ltd.</c:v>
                </c:pt>
                <c:pt idx="2">
                  <c:v>HDFC Asset Management Company Ltd.</c:v>
                </c:pt>
                <c:pt idx="3">
                  <c:v>Nippon Life India Asset Management Ltd.</c:v>
                </c:pt>
                <c:pt idx="4">
                  <c:v>Kotak Mahindra Asset Management Company Ltd.</c:v>
                </c:pt>
                <c:pt idx="5">
                  <c:v>Aditya Birla Sun Life Asset Management Company Ltd.</c:v>
                </c:pt>
                <c:pt idx="6">
                  <c:v>Others</c:v>
                </c:pt>
              </c:strCache>
            </c:strRef>
          </c:cat>
          <c:val>
            <c:numRef>
              <c:f>'Mutual Fund Market '!$D$3:$D$9</c:f>
              <c:numCache>
                <c:formatCode>0</c:formatCode>
                <c:ptCount val="7"/>
                <c:pt idx="0">
                  <c:v>1114125.71</c:v>
                </c:pt>
                <c:pt idx="1">
                  <c:v>965956.95</c:v>
                </c:pt>
                <c:pt idx="2">
                  <c:v>831984.35</c:v>
                </c:pt>
                <c:pt idx="3">
                  <c:v>603689.89</c:v>
                </c:pt>
                <c:pt idx="4">
                  <c:v>516885.64</c:v>
                </c:pt>
                <c:pt idx="5">
                  <c:v>396506.16</c:v>
                </c:pt>
                <c:pt idx="6">
                  <c:v>2790462.3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C-4587-9AEA-9C46F1522766}"/>
            </c:ext>
          </c:extLst>
        </c:ser>
        <c:ser>
          <c:idx val="1"/>
          <c:order val="1"/>
          <c:tx>
            <c:strRef>
              <c:f>'Mutual Fund Market '!$E$2</c:f>
              <c:strCache>
                <c:ptCount val="1"/>
                <c:pt idx="0">
                  <c:v>Market Share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D572-47ED-96B6-6214490DD0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587C-4587-9AEA-9C46F15227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87C-4587-9AEA-9C46F15227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587C-4587-9AEA-9C46F152276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587C-4587-9AEA-9C46F152276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87C-4587-9AEA-9C46F152276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D572-47ED-96B6-6214490DD04C}"/>
              </c:ext>
            </c:extLst>
          </c:dPt>
          <c:dLbls>
            <c:dLbl>
              <c:idx val="1"/>
              <c:layout>
                <c:manualLayout>
                  <c:x val="6.2454165861188979E-4"/>
                  <c:y val="-0.1252497427183304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87C-4587-9AEA-9C46F1522766}"/>
                </c:ext>
              </c:extLst>
            </c:dLbl>
            <c:dLbl>
              <c:idx val="2"/>
              <c:layout>
                <c:manualLayout>
                  <c:x val="6.7912930070966826E-2"/>
                  <c:y val="-0.2272263839360505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7C-4587-9AEA-9C46F1522766}"/>
                </c:ext>
              </c:extLst>
            </c:dLbl>
            <c:dLbl>
              <c:idx val="3"/>
              <c:layout>
                <c:manualLayout>
                  <c:x val="0.20392199538441438"/>
                  <c:y val="-7.499676902089366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87C-4587-9AEA-9C46F1522766}"/>
                </c:ext>
              </c:extLst>
            </c:dLbl>
            <c:dLbl>
              <c:idx val="4"/>
              <c:layout>
                <c:manualLayout>
                  <c:x val="-0.18226625528712209"/>
                  <c:y val="-7.439815540985664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7C-4587-9AEA-9C46F1522766}"/>
                </c:ext>
              </c:extLst>
            </c:dLbl>
            <c:dLbl>
              <c:idx val="5"/>
              <c:layout>
                <c:manualLayout>
                  <c:x val="-8.9912721222871181E-2"/>
                  <c:y val="-0.5843583147724064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7C-4587-9AEA-9C46F152276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'Mutual Fund Market '!$C$3:$C$9</c:f>
              <c:strCache>
                <c:ptCount val="7"/>
                <c:pt idx="0">
                  <c:v>SBI Funds Management Ltd.</c:v>
                </c:pt>
                <c:pt idx="1">
                  <c:v>ICICI Prudential Asset Management Company Ltd.</c:v>
                </c:pt>
                <c:pt idx="2">
                  <c:v>HDFC Asset Management Company Ltd.</c:v>
                </c:pt>
                <c:pt idx="3">
                  <c:v>Nippon Life India Asset Management Ltd.</c:v>
                </c:pt>
                <c:pt idx="4">
                  <c:v>Kotak Mahindra Asset Management Company Ltd.</c:v>
                </c:pt>
                <c:pt idx="5">
                  <c:v>Aditya Birla Sun Life Asset Management Company Ltd.</c:v>
                </c:pt>
                <c:pt idx="6">
                  <c:v>Others</c:v>
                </c:pt>
              </c:strCache>
            </c:strRef>
          </c:cat>
          <c:val>
            <c:numRef>
              <c:f>'Mutual Fund Market '!$E$3:$E$9</c:f>
              <c:numCache>
                <c:formatCode>0.00%</c:formatCode>
                <c:ptCount val="7"/>
                <c:pt idx="0">
                  <c:v>0.16020000000000001</c:v>
                </c:pt>
                <c:pt idx="1">
                  <c:v>0.1389</c:v>
                </c:pt>
                <c:pt idx="2">
                  <c:v>0.1196</c:v>
                </c:pt>
                <c:pt idx="3">
                  <c:v>8.6800000000000002E-2</c:v>
                </c:pt>
                <c:pt idx="4">
                  <c:v>7.4399999999999994E-2</c:v>
                </c:pt>
                <c:pt idx="5">
                  <c:v>5.7000000000000002E-2</c:v>
                </c:pt>
                <c:pt idx="6">
                  <c:v>0.36309999999999987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7C-4587-9AEA-9C46F1522766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FF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FFFF00"/>
                </a:solidFill>
              </a:rPr>
              <a:t>SIP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FF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'SIP Trends'!$C$2</c:f>
              <c:strCache>
                <c:ptCount val="1"/>
                <c:pt idx="0">
                  <c:v>Mar-24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'SIP Trends'!$B$3:$B$7</c:f>
              <c:strCache>
                <c:ptCount val="4"/>
                <c:pt idx="0">
                  <c:v>No. of contributing SIP accounts (Rs crore)</c:v>
                </c:pt>
                <c:pt idx="1">
                  <c:v>SIP yearly contributions (Rs lakh crore)</c:v>
                </c:pt>
                <c:pt idx="2">
                  <c:v>SIP assets (Rs lakh crore)</c:v>
                </c:pt>
                <c:pt idx="3">
                  <c:v>SIP assets as a % of industry assets</c:v>
                </c:pt>
              </c:strCache>
            </c:strRef>
          </c:cat>
          <c:val>
            <c:numRef>
              <c:f>'SIP Trends'!$C$3:$C$7</c:f>
              <c:numCache>
                <c:formatCode>General</c:formatCode>
                <c:ptCount val="4"/>
                <c:pt idx="0">
                  <c:v>6.38</c:v>
                </c:pt>
                <c:pt idx="1">
                  <c:v>1.99</c:v>
                </c:pt>
                <c:pt idx="2">
                  <c:v>10.72</c:v>
                </c:pt>
                <c:pt idx="3" formatCode="0.00">
                  <c:v>20.07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9-4699-A016-03CA3486167A}"/>
            </c:ext>
          </c:extLst>
        </c:ser>
        <c:ser>
          <c:idx val="1"/>
          <c:order val="1"/>
          <c:tx>
            <c:strRef>
              <c:f>'SIP Trends'!$D$2</c:f>
              <c:strCache>
                <c:ptCount val="1"/>
                <c:pt idx="0">
                  <c:v>Mar-25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'SIP Trends'!$B$3:$B$7</c:f>
              <c:strCache>
                <c:ptCount val="4"/>
                <c:pt idx="0">
                  <c:v>No. of contributing SIP accounts (Rs crore)</c:v>
                </c:pt>
                <c:pt idx="1">
                  <c:v>SIP yearly contributions (Rs lakh crore)</c:v>
                </c:pt>
                <c:pt idx="2">
                  <c:v>SIP assets (Rs lakh crore)</c:v>
                </c:pt>
                <c:pt idx="3">
                  <c:v>SIP assets as a % of industry assets</c:v>
                </c:pt>
              </c:strCache>
            </c:strRef>
          </c:cat>
          <c:val>
            <c:numRef>
              <c:f>'SIP Trends'!$D$3:$D$7</c:f>
              <c:numCache>
                <c:formatCode>General</c:formatCode>
                <c:ptCount val="4"/>
                <c:pt idx="0">
                  <c:v>8.11</c:v>
                </c:pt>
                <c:pt idx="1">
                  <c:v>2.89</c:v>
                </c:pt>
                <c:pt idx="2">
                  <c:v>13.35</c:v>
                </c:pt>
                <c:pt idx="3" formatCode="0.00">
                  <c:v>20.309999999999999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89-4699-A016-03CA3486167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4147215"/>
        <c:axId val="1984138575"/>
      </c:barChart>
      <c:catAx>
        <c:axId val="198414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138575"/>
        <c:crosses val="autoZero"/>
        <c:auto val="1"/>
        <c:lblAlgn val="ctr"/>
        <c:lblOffset val="100"/>
        <c:noMultiLvlLbl val="0"/>
      </c:catAx>
      <c:valAx>
        <c:axId val="198413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14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FF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/>
              <a:t>Indian MF Industry AUM </a:t>
            </a:r>
          </a:p>
          <a:p>
            <a:pPr>
              <a:defRPr>
                <a:solidFill>
                  <a:srgbClr val="FFFF00"/>
                </a:solidFill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IN"/>
              <a:t>(₹  Trillion)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FF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'MF AUM History'!$C$2</c:f>
              <c:strCache>
                <c:ptCount val="1"/>
                <c:pt idx="0">
                  <c:v>MF Industry AUM (₹  Trillion)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FF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'MF AUM History'!$B$3:$B$5</c:f>
              <c:numCache>
                <c:formatCode>General</c:formatCode>
                <c:ptCount val="3"/>
                <c:pt idx="0">
                  <c:v>2015</c:v>
                </c:pt>
                <c:pt idx="1">
                  <c:v>2020</c:v>
                </c:pt>
                <c:pt idx="2">
                  <c:v>2025</c:v>
                </c:pt>
              </c:numCache>
            </c:numRef>
          </c:cat>
          <c:val>
            <c:numRef>
              <c:f>'MF AUM History'!$C$3:$C$5</c:f>
              <c:numCache>
                <c:formatCode>General</c:formatCode>
                <c:ptCount val="3"/>
                <c:pt idx="0">
                  <c:v>12.04</c:v>
                </c:pt>
                <c:pt idx="1">
                  <c:v>24.55</c:v>
                </c:pt>
                <c:pt idx="2">
                  <c:v>72.2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8E-4F23-9C40-B97A31820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09634735"/>
        <c:axId val="409640495"/>
        <c:axId val="0"/>
      </c:bar3DChart>
      <c:catAx>
        <c:axId val="40963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FFFF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9640495"/>
        <c:crosses val="autoZero"/>
        <c:auto val="1"/>
        <c:lblAlgn val="ctr"/>
        <c:lblOffset val="100"/>
        <c:noMultiLvlLbl val="0"/>
      </c:catAx>
      <c:valAx>
        <c:axId val="40964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rgbClr val="FFFF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>
                    <a:solidFill>
                      <a:srgbClr val="FFFF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Asset</a:t>
                </a:r>
                <a:r>
                  <a:rPr lang="en-IN" baseline="0">
                    <a:solidFill>
                      <a:srgbClr val="FFFF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under Management (aum)</a:t>
                </a:r>
                <a:endParaRPr lang="en-IN">
                  <a:solidFill>
                    <a:srgbClr val="FFFF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5.5348001847343307E-2"/>
              <c:y val="0.210071942446043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rgbClr val="FFFF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963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'Wealth Market'!$D$2</c:f>
              <c:strCache>
                <c:ptCount val="1"/>
                <c:pt idx="0">
                  <c:v>AUM (US $B)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solidFill>
                <a:srgbClr val="FFFF00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'Wealth Market'!$C$3:$C$9</c:f>
              <c:strCache>
                <c:ptCount val="6"/>
                <c:pt idx="0">
                  <c:v>ICICI Bank Pvt. Banking</c:v>
                </c:pt>
                <c:pt idx="1">
                  <c:v>HDFC Bank Pvt. Banking</c:v>
                </c:pt>
                <c:pt idx="2">
                  <c:v>Kotak Mahindra Wealth Management </c:v>
                </c:pt>
                <c:pt idx="3">
                  <c:v>Axis Bank Wealth Management </c:v>
                </c:pt>
                <c:pt idx="4">
                  <c:v>IIFL Wealth Management</c:v>
                </c:pt>
                <c:pt idx="5">
                  <c:v>SBI Wealth Management</c:v>
                </c:pt>
              </c:strCache>
            </c:strRef>
          </c:cat>
          <c:val>
            <c:numRef>
              <c:f>'Wealth Market'!$D$3:$D$9</c:f>
              <c:numCache>
                <c:formatCode>General</c:formatCode>
                <c:ptCount val="6"/>
                <c:pt idx="0">
                  <c:v>85.4</c:v>
                </c:pt>
                <c:pt idx="1">
                  <c:v>78.900000000000006</c:v>
                </c:pt>
                <c:pt idx="2">
                  <c:v>68.3</c:v>
                </c:pt>
                <c:pt idx="3">
                  <c:v>65.5</c:v>
                </c:pt>
                <c:pt idx="4">
                  <c:v>56.9</c:v>
                </c:pt>
                <c:pt idx="5">
                  <c:v>42.6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3-497B-90A1-620D2B7194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521878607"/>
        <c:axId val="521880047"/>
        <c:axId val="0"/>
      </c:bar3DChart>
      <c:catAx>
        <c:axId val="5218786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Wealth</a:t>
                </a:r>
                <a:r>
                  <a:rPr lang="en-IN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Service Providers</a:t>
                </a:r>
                <a:endParaRPr lang="en-IN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880047"/>
        <c:crosses val="autoZero"/>
        <c:auto val="1"/>
        <c:lblAlgn val="ctr"/>
        <c:lblOffset val="100"/>
        <c:noMultiLvlLbl val="0"/>
      </c:catAx>
      <c:valAx>
        <c:axId val="52188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878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FF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'Wealth Market'!$D$2</c:f>
              <c:strCache>
                <c:ptCount val="1"/>
                <c:pt idx="0">
                  <c:v>AUM (US $B)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'Wealth Market'!$C$3:$C$9</c:f>
              <c:strCache>
                <c:ptCount val="6"/>
                <c:pt idx="0">
                  <c:v>ICICI Bank Pvt. Banking</c:v>
                </c:pt>
                <c:pt idx="1">
                  <c:v>HDFC Bank Pvt. Banking</c:v>
                </c:pt>
                <c:pt idx="2">
                  <c:v>Kotak Mahindra Wealth Management </c:v>
                </c:pt>
                <c:pt idx="3">
                  <c:v>Axis Bank Wealth Management </c:v>
                </c:pt>
                <c:pt idx="4">
                  <c:v>IIFL Wealth Management</c:v>
                </c:pt>
                <c:pt idx="5">
                  <c:v>SBI Wealth Management</c:v>
                </c:pt>
              </c:strCache>
            </c:strRef>
          </c:cat>
          <c:val>
            <c:numRef>
              <c:f>'Wealth Market'!$D$3:$D$9</c:f>
              <c:numCache>
                <c:formatCode>General</c:formatCode>
                <c:ptCount val="6"/>
                <c:pt idx="0">
                  <c:v>85.4</c:v>
                </c:pt>
                <c:pt idx="1">
                  <c:v>78.900000000000006</c:v>
                </c:pt>
                <c:pt idx="2">
                  <c:v>68.3</c:v>
                </c:pt>
                <c:pt idx="3">
                  <c:v>65.5</c:v>
                </c:pt>
                <c:pt idx="4">
                  <c:v>56.9</c:v>
                </c:pt>
                <c:pt idx="5">
                  <c:v>42.6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4-46CF-976C-AF7DAD1D6BDE}"/>
            </c:ext>
          </c:extLst>
        </c:ser>
        <c:ser>
          <c:idx val="1"/>
          <c:order val="1"/>
          <c:tx>
            <c:strRef>
              <c:f>'Wealth Market'!$E$2</c:f>
              <c:strCache>
                <c:ptCount val="1"/>
                <c:pt idx="0">
                  <c:v>Market Share (%)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99AD-4549-A311-8826525D145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99AD-4549-A311-8826525D145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99AD-4549-A311-8826525D145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99AD-4549-A311-8826525D145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99AD-4549-A311-8826525D145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CC54-46CF-976C-AF7DAD1D6BDE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99AD-4549-A311-8826525D1454}"/>
              </c:ext>
            </c:extLst>
          </c:dPt>
          <c:dLbls>
            <c:spPr>
              <a:solidFill>
                <a:srgbClr val="9BBB59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'Wealth Market'!$C$3:$C$9</c:f>
              <c:strCache>
                <c:ptCount val="6"/>
                <c:pt idx="0">
                  <c:v>ICICI Bank Pvt. Banking</c:v>
                </c:pt>
                <c:pt idx="1">
                  <c:v>HDFC Bank Pvt. Banking</c:v>
                </c:pt>
                <c:pt idx="2">
                  <c:v>Kotak Mahindra Wealth Management </c:v>
                </c:pt>
                <c:pt idx="3">
                  <c:v>Axis Bank Wealth Management </c:v>
                </c:pt>
                <c:pt idx="4">
                  <c:v>IIFL Wealth Management</c:v>
                </c:pt>
                <c:pt idx="5">
                  <c:v>SBI Wealth Management</c:v>
                </c:pt>
              </c:strCache>
            </c:strRef>
          </c:cat>
          <c:val>
            <c:numRef>
              <c:f>'Wealth Market'!$E$3:$E$9</c:f>
              <c:numCache>
                <c:formatCode>0.00%</c:formatCode>
                <c:ptCount val="6"/>
                <c:pt idx="0">
                  <c:v>0.12558823529411767</c:v>
                </c:pt>
                <c:pt idx="1">
                  <c:v>0.11602941176470589</c:v>
                </c:pt>
                <c:pt idx="2">
                  <c:v>0.10044117647058823</c:v>
                </c:pt>
                <c:pt idx="3">
                  <c:v>9.6323529411764711E-2</c:v>
                </c:pt>
                <c:pt idx="4">
                  <c:v>8.3676470588235297E-2</c:v>
                </c:pt>
                <c:pt idx="5">
                  <c:v>6.2647058823529417E-2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54-46CF-976C-AF7DAD1D6BD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PMS AUM GROWTH </a:t>
            </a:r>
          </a:p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(in US$ Billion)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'PMS AUM History'!$C$2</c:f>
              <c:strCache>
                <c:ptCount val="1"/>
                <c:pt idx="0">
                  <c:v>AUM (in US$ Billion)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gradFill>
                <a:gsLst>
                  <a:gs pos="0">
                    <a:srgbClr val="FFFF00"/>
                  </a:gs>
                  <a:gs pos="100000">
                    <a:schemeClr val="accent1">
                      <a:lumMod val="0"/>
                      <a:lumOff val="100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'PMS AUM History'!$B$3:$B$4</c:f>
              <c:strCache>
                <c:ptCount val="2"/>
                <c:pt idx="0">
                  <c:v>FY17</c:v>
                </c:pt>
                <c:pt idx="1">
                  <c:v>FY24</c:v>
                </c:pt>
              </c:strCache>
            </c:strRef>
          </c:cat>
          <c:val>
            <c:numRef>
              <c:f>'PMS AUM History'!$C$3:$C$4</c:f>
              <c:numCache>
                <c:formatCode>General</c:formatCode>
                <c:ptCount val="2"/>
                <c:pt idx="0">
                  <c:v>149</c:v>
                </c:pt>
                <c:pt idx="1">
                  <c:v>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7-4384-9412-13C7E1F25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526437344"/>
        <c:axId val="526431584"/>
        <c:axId val="0"/>
      </c:bar3DChart>
      <c:catAx>
        <c:axId val="52643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26431584"/>
        <c:crosses val="autoZero"/>
        <c:auto val="1"/>
        <c:lblAlgn val="ctr"/>
        <c:lblOffset val="100"/>
        <c:noMultiLvlLbl val="0"/>
      </c:catAx>
      <c:valAx>
        <c:axId val="52643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Asset</a:t>
                </a:r>
                <a:r>
                  <a:rPr lang="en-IN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Under Management (AUM)</a:t>
                </a:r>
                <a:endParaRPr lang="en-IN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43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FF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'Demat acc'!$C$2</c:f>
              <c:strCache>
                <c:ptCount val="1"/>
                <c:pt idx="0">
                  <c:v>No. of Demat Accounts (in Million)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2.4999999999999991E-2"/>
                  <c:y val="1.8518518518518517E-2"/>
                </c:manualLayout>
              </c:layout>
              <c:spPr>
                <a:noFill/>
                <a:ln>
                  <a:solidFill>
                    <a:srgbClr val="FFFF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>
                        <a:solidFill>
                          <a:srgbClr val="FFFF00">
                            <a:alpha val="94000"/>
                          </a:srgbClr>
                        </a:solidFill>
                      </a:ln>
                      <a:gradFill>
                        <a:gsLst>
                          <a:gs pos="0">
                            <a:srgbClr val="FFFF00">
                              <a:lumMod val="95000"/>
                              <a:lumOff val="5000"/>
                            </a:srgbClr>
                          </a:gs>
                          <a:gs pos="100000">
                            <a:schemeClr val="accent1">
                              <a:lumMod val="0"/>
                              <a:lumOff val="100000"/>
                            </a:schemeClr>
                          </a:gs>
                          <a:gs pos="100000">
                            <a:schemeClr val="accent1">
                              <a:lumMod val="30000"/>
                              <a:lumOff val="70000"/>
                            </a:schemeClr>
                          </a:gs>
                        </a:gsLst>
                        <a:lin ang="5400000" scaled="1"/>
                      </a:gra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0888888888888871E-2"/>
                      <c:h val="0.1203011081948089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D5CB-4572-AD8C-0D53A535F5F9}"/>
                </c:ext>
              </c:extLst>
            </c:dLbl>
            <c:dLbl>
              <c:idx val="1"/>
              <c:spPr>
                <a:noFill/>
                <a:ln>
                  <a:solidFill>
                    <a:srgbClr val="FFFF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>
                        <a:solidFill>
                          <a:srgbClr val="FFFF00">
                            <a:alpha val="94000"/>
                          </a:srgbClr>
                        </a:solidFill>
                      </a:ln>
                      <a:gradFill>
                        <a:gsLst>
                          <a:gs pos="0">
                            <a:srgbClr val="FFFF00">
                              <a:lumMod val="95000"/>
                              <a:lumOff val="5000"/>
                            </a:srgbClr>
                          </a:gs>
                          <a:gs pos="100000">
                            <a:schemeClr val="accent1">
                              <a:lumMod val="0"/>
                              <a:lumOff val="100000"/>
                            </a:schemeClr>
                          </a:gs>
                          <a:gs pos="100000">
                            <a:schemeClr val="accent1">
                              <a:lumMod val="30000"/>
                              <a:lumOff val="70000"/>
                            </a:schemeClr>
                          </a:gs>
                        </a:gsLst>
                        <a:lin ang="5400000" scaled="1"/>
                      </a:gra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0777777777777777E-2"/>
                      <c:h val="0.1017825896762904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5CB-4572-AD8C-0D53A535F5F9}"/>
                </c:ext>
              </c:extLst>
            </c:dLbl>
            <c:spPr>
              <a:noFill/>
              <a:ln>
                <a:solidFill>
                  <a:srgbClr val="FFFF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rgbClr val="FFFF00">
                          <a:alpha val="94000"/>
                        </a:srgbClr>
                      </a:solidFill>
                    </a:ln>
                    <a:gradFill>
                      <a:gsLst>
                        <a:gs pos="0">
                          <a:srgbClr val="FFFF00">
                            <a:lumMod val="95000"/>
                            <a:lumOff val="5000"/>
                          </a:srgbClr>
                        </a:gs>
                        <a:gs pos="100000">
                          <a:schemeClr val="accent1">
                            <a:lumMod val="0"/>
                            <a:lumOff val="100000"/>
                          </a:schemeClr>
                        </a:gs>
                        <a:gs pos="100000">
                          <a:schemeClr val="accent1">
                            <a:lumMod val="30000"/>
                            <a:lumOff val="70000"/>
                          </a:schemeClr>
                        </a:gs>
                      </a:gsLst>
                      <a:lin ang="5400000" scaled="1"/>
                    </a:gra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'Demat acc'!$B$3:$B$4</c:f>
              <c:strCache>
                <c:ptCount val="2"/>
                <c:pt idx="0">
                  <c:v>FY17</c:v>
                </c:pt>
                <c:pt idx="1">
                  <c:v>FY24</c:v>
                </c:pt>
              </c:strCache>
            </c:strRef>
          </c:cat>
          <c:val>
            <c:numRef>
              <c:f>'Demat acc'!$C$3:$C$4</c:f>
              <c:numCache>
                <c:formatCode>General</c:formatCode>
                <c:ptCount val="2"/>
                <c:pt idx="0">
                  <c:v>32</c:v>
                </c:pt>
                <c:pt idx="1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B-4572-AD8C-0D53A535F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26458464"/>
        <c:axId val="526470944"/>
        <c:axId val="0"/>
      </c:bar3DChart>
      <c:catAx>
        <c:axId val="52645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26470944"/>
        <c:crosses val="autoZero"/>
        <c:auto val="1"/>
        <c:lblAlgn val="ctr"/>
        <c:lblOffset val="100"/>
        <c:noMultiLvlLbl val="0"/>
      </c:catAx>
      <c:valAx>
        <c:axId val="52647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baseline="0">
                    <a:solidFill>
                      <a:srgbClr val="FFFF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DEMAT Accounts</a:t>
                </a:r>
                <a:endParaRPr lang="en-IN">
                  <a:solidFill>
                    <a:srgbClr val="FFFF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4.3266185476815391E-2"/>
              <c:y val="0.347880941965587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2645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'Wealth Mgmt Demand'!$C$2</c:f>
              <c:strCache>
                <c:ptCount val="1"/>
                <c:pt idx="0">
                  <c:v>Expected Demand in AUM (US$ Trillion)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2.7777777777777776E-2"/>
                  <c:y val="-0.33796296296296302"/>
                </c:manualLayout>
              </c:layout>
              <c:spPr>
                <a:solidFill>
                  <a:srgbClr val="4BACC6">
                    <a:lumMod val="20000"/>
                    <a:lumOff val="80000"/>
                  </a:srgbClr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1201"/>
                        <a:gd name="adj2" fmla="val 322811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67BE-4214-8B30-0920A5C38430}"/>
                </c:ext>
              </c:extLst>
            </c:dLbl>
            <c:dLbl>
              <c:idx val="1"/>
              <c:layout>
                <c:manualLayout>
                  <c:x val="1.9444444444444445E-2"/>
                  <c:y val="-0.37962962962962965"/>
                </c:manualLayout>
              </c:layout>
              <c:spPr>
                <a:solidFill>
                  <a:srgbClr val="4BACC6">
                    <a:lumMod val="20000"/>
                    <a:lumOff val="80000"/>
                  </a:srgbClr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3141"/>
                        <a:gd name="adj2" fmla="val 178103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67BE-4214-8B30-0920A5C38430}"/>
                </c:ext>
              </c:extLst>
            </c:dLbl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'Wealth Mgmt Demand'!$B$3:$B$4</c:f>
              <c:strCache>
                <c:ptCount val="2"/>
                <c:pt idx="0">
                  <c:v>FY 24 </c:v>
                </c:pt>
                <c:pt idx="1">
                  <c:v>FY 29</c:v>
                </c:pt>
              </c:strCache>
            </c:strRef>
          </c:cat>
          <c:val>
            <c:numRef>
              <c:f>'Wealth Mgmt Demand'!$C$3:$C$4</c:f>
              <c:numCache>
                <c:formatCode>General</c:formatCode>
                <c:ptCount val="2"/>
                <c:pt idx="0">
                  <c:v>1.1000000000000001</c:v>
                </c:pt>
                <c:pt idx="1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E-4214-8B30-0920A5C38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26461344"/>
        <c:axId val="526457504"/>
        <c:axId val="0"/>
      </c:bar3DChart>
      <c:catAx>
        <c:axId val="52646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26457504"/>
        <c:crosses val="autoZero"/>
        <c:auto val="1"/>
        <c:lblAlgn val="ctr"/>
        <c:lblOffset val="100"/>
        <c:noMultiLvlLbl val="0"/>
      </c:catAx>
      <c:valAx>
        <c:axId val="52645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2646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T30</a:t>
            </a:r>
            <a:r>
              <a:rPr lang="en-IN" baseline="0"/>
              <a:t> v/s B30 AUM Distribution</a:t>
            </a:r>
            <a:endParaRPr lang="en-IN"/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7469816272965873E-2"/>
          <c:y val="0.18300925925925926"/>
          <c:w val="0.87197462817147853"/>
          <c:h val="0.56028470399533392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'T30 vs B30'!$D$2:$D$3</c:f>
              <c:strCache>
                <c:ptCount val="2"/>
                <c:pt idx="0">
                  <c:v>Geographical split of mutual fund AUM</c:v>
                </c:pt>
                <c:pt idx="1">
                  <c:v>T30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'T30 vs B30'!$C$4:$C$8</c:f>
              <c:numCache>
                <c:formatCode>mmm\-yy</c:formatCode>
                <c:ptCount val="5"/>
                <c:pt idx="0">
                  <c:v>43891</c:v>
                </c:pt>
                <c:pt idx="1">
                  <c:v>44256</c:v>
                </c:pt>
                <c:pt idx="2">
                  <c:v>44621</c:v>
                </c:pt>
                <c:pt idx="3">
                  <c:v>44986</c:v>
                </c:pt>
                <c:pt idx="4">
                  <c:v>45352</c:v>
                </c:pt>
              </c:numCache>
            </c:numRef>
          </c:cat>
          <c:val>
            <c:numRef>
              <c:f>'T30 vs B30'!$D$4:$D$8</c:f>
              <c:numCache>
                <c:formatCode>0%</c:formatCode>
                <c:ptCount val="5"/>
                <c:pt idx="0">
                  <c:v>0.79</c:v>
                </c:pt>
                <c:pt idx="1">
                  <c:v>0.74</c:v>
                </c:pt>
                <c:pt idx="2">
                  <c:v>0.73</c:v>
                </c:pt>
                <c:pt idx="3">
                  <c:v>0.71</c:v>
                </c:pt>
                <c:pt idx="4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E9-4B3C-A23F-FD1D54E6AD3A}"/>
            </c:ext>
          </c:extLst>
        </c:ser>
        <c:ser>
          <c:idx val="1"/>
          <c:order val="1"/>
          <c:tx>
            <c:strRef>
              <c:f>'T30 vs B30'!$E$2:$E$3</c:f>
              <c:strCache>
                <c:ptCount val="2"/>
                <c:pt idx="0">
                  <c:v>Geographical split of mutual fund AUM</c:v>
                </c:pt>
                <c:pt idx="1">
                  <c:v>B30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'T30 vs B30'!$C$4:$C$8</c:f>
              <c:numCache>
                <c:formatCode>mmm\-yy</c:formatCode>
                <c:ptCount val="5"/>
                <c:pt idx="0">
                  <c:v>43891</c:v>
                </c:pt>
                <c:pt idx="1">
                  <c:v>44256</c:v>
                </c:pt>
                <c:pt idx="2">
                  <c:v>44621</c:v>
                </c:pt>
                <c:pt idx="3">
                  <c:v>44986</c:v>
                </c:pt>
                <c:pt idx="4">
                  <c:v>45352</c:v>
                </c:pt>
              </c:numCache>
            </c:numRef>
          </c:cat>
          <c:val>
            <c:numRef>
              <c:f>'T30 vs B30'!$E$4:$E$8</c:f>
              <c:numCache>
                <c:formatCode>0%</c:formatCode>
                <c:ptCount val="5"/>
                <c:pt idx="0">
                  <c:v>0.20999999999999996</c:v>
                </c:pt>
                <c:pt idx="1">
                  <c:v>0.26</c:v>
                </c:pt>
                <c:pt idx="2">
                  <c:v>0.27</c:v>
                </c:pt>
                <c:pt idx="3">
                  <c:v>0.29000000000000004</c:v>
                </c:pt>
                <c:pt idx="4">
                  <c:v>0.30000000000000004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E9-4B3C-A23F-FD1D54E6AD3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26422944"/>
        <c:axId val="526442144"/>
        <c:axId val="0"/>
      </c:bar3DChart>
      <c:dateAx>
        <c:axId val="5264229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442144"/>
        <c:crosses val="autoZero"/>
        <c:auto val="1"/>
        <c:lblOffset val="100"/>
        <c:baseTimeUnit val="years"/>
      </c:dateAx>
      <c:valAx>
        <c:axId val="52644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42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92D050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Geographical</a:t>
            </a:r>
            <a:r>
              <a:rPr lang="en-IN" b="1" baseline="0">
                <a:solidFill>
                  <a:sysClr val="windowText" lastClr="000000"/>
                </a:solidFill>
              </a:rPr>
              <a:t> Split of Deposits</a:t>
            </a:r>
            <a:endParaRPr lang="en-IN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660862966291893"/>
          <c:y val="0.17171296296296296"/>
          <c:w val="0.85283588355283335"/>
          <c:h val="0.56545530766987462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'T30 vs B30'!$C$22</c:f>
              <c:strCache>
                <c:ptCount val="1"/>
                <c:pt idx="0">
                  <c:v>Savings Deposits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'T30 vs B30'!$D$20:$E$21</c:f>
              <c:multiLvlStrCache>
                <c:ptCount val="2"/>
                <c:lvl>
                  <c:pt idx="0">
                    <c:v>T30</c:v>
                  </c:pt>
                  <c:pt idx="1">
                    <c:v>B30</c:v>
                  </c:pt>
                </c:lvl>
                <c:lvl>
                  <c:pt idx="0">
                    <c:v>Mar-24</c:v>
                  </c:pt>
                </c:lvl>
              </c:multiLvlStrCache>
            </c:multiLvlStrRef>
          </c:cat>
          <c:val>
            <c:numRef>
              <c:f>'T30 vs B30'!$D$22:$E$22</c:f>
              <c:numCache>
                <c:formatCode>0%</c:formatCode>
                <c:ptCount val="2"/>
                <c:pt idx="0">
                  <c:v>0.38</c:v>
                </c:pt>
                <c:pt idx="1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D-44D6-83F4-D84D0C790F88}"/>
            </c:ext>
          </c:extLst>
        </c:ser>
        <c:ser>
          <c:idx val="1"/>
          <c:order val="1"/>
          <c:tx>
            <c:strRef>
              <c:f>'T30 vs B30'!$C$23</c:f>
              <c:strCache>
                <c:ptCount val="1"/>
                <c:pt idx="0">
                  <c:v>Term Deposits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'T30 vs B30'!$D$20:$E$21</c:f>
              <c:multiLvlStrCache>
                <c:ptCount val="2"/>
                <c:lvl>
                  <c:pt idx="0">
                    <c:v>T30</c:v>
                  </c:pt>
                  <c:pt idx="1">
                    <c:v>B30</c:v>
                  </c:pt>
                </c:lvl>
                <c:lvl>
                  <c:pt idx="0">
                    <c:v>Mar-24</c:v>
                  </c:pt>
                </c:lvl>
              </c:multiLvlStrCache>
            </c:multiLvlStrRef>
          </c:cat>
          <c:val>
            <c:numRef>
              <c:f>'T30 vs B30'!$D$23:$E$23</c:f>
              <c:numCache>
                <c:formatCode>0%</c:formatCode>
                <c:ptCount val="2"/>
                <c:pt idx="0">
                  <c:v>0.56999999999999995</c:v>
                </c:pt>
                <c:pt idx="1">
                  <c:v>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2D-44D6-83F4-D84D0C790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26451264"/>
        <c:axId val="526465664"/>
        <c:axId val="0"/>
      </c:bar3DChart>
      <c:catAx>
        <c:axId val="52645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465664"/>
        <c:crosses val="autoZero"/>
        <c:auto val="1"/>
        <c:lblAlgn val="ctr"/>
        <c:lblOffset val="100"/>
        <c:noMultiLvlLbl val="0"/>
      </c:catAx>
      <c:valAx>
        <c:axId val="52646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451264"/>
        <c:crosses val="autoZero"/>
        <c:crossBetween val="between"/>
      </c:valAx>
      <c:spPr>
        <a:solidFill>
          <a:srgbClr val="FFC000"/>
        </a:solidFill>
        <a:ln>
          <a:noFill/>
        </a:ln>
        <a:effectLst/>
      </c:spPr>
    </c:plotArea>
    <c:legend>
      <c:legendPos val="b"/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B0F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FF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FFFF00"/>
                </a:solidFill>
              </a:rPr>
              <a:t>SBI</a:t>
            </a:r>
            <a:r>
              <a:rPr lang="en-IN" b="1" baseline="0">
                <a:solidFill>
                  <a:srgbClr val="FFFF00"/>
                </a:solidFill>
              </a:rPr>
              <a:t> AMC v/s MF Industry</a:t>
            </a:r>
            <a:endParaRPr lang="en-IN" b="1">
              <a:solidFill>
                <a:srgbClr val="FFFF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FF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'SBI AMC VS Industry'!$C$27</c:f>
              <c:strCache>
                <c:ptCount val="1"/>
                <c:pt idx="0">
                  <c:v>Industry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'SBI AMC VS Industry'!$B$28:$B$32</c:f>
              <c:strCache>
                <c:ptCount val="5"/>
                <c:pt idx="0">
                  <c:v>Revenue Growth%</c:v>
                </c:pt>
                <c:pt idx="1">
                  <c:v>EBITDA Margin%</c:v>
                </c:pt>
                <c:pt idx="2">
                  <c:v>PAT Growth%</c:v>
                </c:pt>
                <c:pt idx="3">
                  <c:v>Net Profit Margin%</c:v>
                </c:pt>
                <c:pt idx="4">
                  <c:v>Trading Valuation</c:v>
                </c:pt>
              </c:strCache>
            </c:strRef>
          </c:cat>
          <c:val>
            <c:numRef>
              <c:f>'SBI AMC VS Industry'!$C$28:$C$32</c:f>
              <c:numCache>
                <c:formatCode>0%</c:formatCode>
                <c:ptCount val="5"/>
                <c:pt idx="0">
                  <c:v>0.3</c:v>
                </c:pt>
                <c:pt idx="1">
                  <c:v>0.72</c:v>
                </c:pt>
                <c:pt idx="2">
                  <c:v>0.5</c:v>
                </c:pt>
                <c:pt idx="3">
                  <c:v>0.56000000000000005</c:v>
                </c:pt>
                <c:pt idx="4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C-48C3-97B2-B904BC9A849A}"/>
            </c:ext>
          </c:extLst>
        </c:ser>
        <c:ser>
          <c:idx val="1"/>
          <c:order val="1"/>
          <c:tx>
            <c:strRef>
              <c:f>'SBI AMC VS Industry'!$D$27</c:f>
              <c:strCache>
                <c:ptCount val="1"/>
                <c:pt idx="0">
                  <c:v>SBI AMC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'SBI AMC VS Industry'!$B$28:$B$32</c:f>
              <c:strCache>
                <c:ptCount val="5"/>
                <c:pt idx="0">
                  <c:v>Revenue Growth%</c:v>
                </c:pt>
                <c:pt idx="1">
                  <c:v>EBITDA Margin%</c:v>
                </c:pt>
                <c:pt idx="2">
                  <c:v>PAT Growth%</c:v>
                </c:pt>
                <c:pt idx="3">
                  <c:v>Net Profit Margin%</c:v>
                </c:pt>
                <c:pt idx="4">
                  <c:v>Trading Valuation</c:v>
                </c:pt>
              </c:strCache>
            </c:strRef>
          </c:cat>
          <c:val>
            <c:numRef>
              <c:f>'SBI AMC VS Industry'!$D$28:$D$32</c:f>
              <c:numCache>
                <c:formatCode>0.00%</c:formatCode>
                <c:ptCount val="5"/>
                <c:pt idx="0" formatCode="0%">
                  <c:v>0.42</c:v>
                </c:pt>
                <c:pt idx="1">
                  <c:v>0.78369999999999995</c:v>
                </c:pt>
                <c:pt idx="2" formatCode="0%">
                  <c:v>0.5</c:v>
                </c:pt>
                <c:pt idx="3" formatCode="0%">
                  <c:v>0.63</c:v>
                </c:pt>
                <c:pt idx="4" formatCode="0%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CC-48C3-97B2-B904BC9A8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35715216"/>
        <c:axId val="1235696496"/>
      </c:barChart>
      <c:catAx>
        <c:axId val="123571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96496"/>
        <c:crosses val="autoZero"/>
        <c:auto val="1"/>
        <c:lblAlgn val="ctr"/>
        <c:lblOffset val="100"/>
        <c:noMultiLvlLbl val="0"/>
      </c:catAx>
      <c:valAx>
        <c:axId val="123569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71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Ratio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1"/>
          <c:order val="1"/>
          <c:tx>
            <c:strRef>
              <c:f>'SBI AMC VS HDFC AMC'!$D$2:$D$3</c:f>
              <c:strCache>
                <c:ptCount val="2"/>
                <c:pt idx="0">
                  <c:v>SBI AMC (Unlisted)</c:v>
                </c:pt>
                <c:pt idx="1">
                  <c:v>Rs. 1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dLbl>
              <c:idx val="7"/>
              <c:layout>
                <c:manualLayout>
                  <c:x val="1.1841324020396124E-2"/>
                  <c:y val="3.367003367003366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D6-4BE6-AEE9-ADAE422F9C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'SBI AMC VS HDFC AMC'!$B$4:$B$11</c:f>
              <c:strCache>
                <c:ptCount val="8"/>
                <c:pt idx="0">
                  <c:v>PE Ratio</c:v>
                </c:pt>
                <c:pt idx="1">
                  <c:v>Price / Sales</c:v>
                </c:pt>
                <c:pt idx="2">
                  <c:v>Book Value/ Share (in Rs.)</c:v>
                </c:pt>
                <c:pt idx="3">
                  <c:v>Price / Book value (P/B)</c:v>
                </c:pt>
                <c:pt idx="4">
                  <c:v>EPS</c:v>
                </c:pt>
                <c:pt idx="5">
                  <c:v>Dividend/ Share (in Rs.)</c:v>
                </c:pt>
                <c:pt idx="6">
                  <c:v>Current Ratio</c:v>
                </c:pt>
                <c:pt idx="7">
                  <c:v>EV/ Revenue</c:v>
                </c:pt>
              </c:strCache>
            </c:strRef>
          </c:cat>
          <c:val>
            <c:numRef>
              <c:f>'SBI AMC VS HDFC AMC'!$D$4:$D$11</c:f>
              <c:numCache>
                <c:formatCode>General</c:formatCode>
                <c:ptCount val="8"/>
                <c:pt idx="0">
                  <c:v>67.11</c:v>
                </c:pt>
                <c:pt idx="1">
                  <c:v>40.6</c:v>
                </c:pt>
                <c:pt idx="2">
                  <c:v>133.27000000000001</c:v>
                </c:pt>
                <c:pt idx="3">
                  <c:v>20.61</c:v>
                </c:pt>
                <c:pt idx="4">
                  <c:v>40.98</c:v>
                </c:pt>
                <c:pt idx="5">
                  <c:v>4</c:v>
                </c:pt>
                <c:pt idx="6">
                  <c:v>45.73</c:v>
                </c:pt>
                <c:pt idx="7">
                  <c:v>13.26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D6-4BE6-AEE9-ADAE422F9C64}"/>
            </c:ext>
          </c:extLst>
        </c:ser>
        <c:ser>
          <c:idx val="2"/>
          <c:order val="2"/>
          <c:tx>
            <c:strRef>
              <c:f>'SBI AMC VS HDFC AMC'!$E$2:$E$3</c:f>
              <c:strCache>
                <c:ptCount val="2"/>
                <c:pt idx="0">
                  <c:v>HDFC AMC</c:v>
                </c:pt>
                <c:pt idx="1">
                  <c:v>Rs. 5</c:v>
                </c:pt>
              </c:strCache>
            </c:strRef>
          </c:tx>
          <c:spPr>
            <a:solidFill>
              <a:srgbClr val="FFFF00"/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2.1314383236713103E-2"/>
                  <c:y val="-1.01010101010101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D6-4BE6-AEE9-ADAE422F9C64}"/>
                </c:ext>
              </c:extLst>
            </c:dLbl>
            <c:dLbl>
              <c:idx val="1"/>
              <c:layout>
                <c:manualLayout>
                  <c:x val="3.0787442453030035E-2"/>
                  <c:y val="-1.01010101010101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8D6-4BE6-AEE9-ADAE422F9C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'SBI AMC VS HDFC AMC'!$B$4:$B$11</c:f>
              <c:strCache>
                <c:ptCount val="8"/>
                <c:pt idx="0">
                  <c:v>PE Ratio</c:v>
                </c:pt>
                <c:pt idx="1">
                  <c:v>Price / Sales</c:v>
                </c:pt>
                <c:pt idx="2">
                  <c:v>Book Value/ Share (in Rs.)</c:v>
                </c:pt>
                <c:pt idx="3">
                  <c:v>Price / Book value (P/B)</c:v>
                </c:pt>
                <c:pt idx="4">
                  <c:v>EPS</c:v>
                </c:pt>
                <c:pt idx="5">
                  <c:v>Dividend/ Share (in Rs.)</c:v>
                </c:pt>
                <c:pt idx="6">
                  <c:v>Current Ratio</c:v>
                </c:pt>
                <c:pt idx="7">
                  <c:v>EV/ Revenue</c:v>
                </c:pt>
              </c:strCache>
            </c:strRef>
          </c:cat>
          <c:val>
            <c:numRef>
              <c:f>'SBI AMC VS HDFC AMC'!$E$4:$E$11</c:f>
              <c:numCache>
                <c:formatCode>General</c:formatCode>
                <c:ptCount val="8"/>
                <c:pt idx="0">
                  <c:v>43.11</c:v>
                </c:pt>
                <c:pt idx="1">
                  <c:v>30.39</c:v>
                </c:pt>
                <c:pt idx="2">
                  <c:v>317.63</c:v>
                </c:pt>
                <c:pt idx="3">
                  <c:v>13.05</c:v>
                </c:pt>
                <c:pt idx="4">
                  <c:v>32.409999999999997</c:v>
                </c:pt>
                <c:pt idx="5">
                  <c:v>90</c:v>
                </c:pt>
                <c:pt idx="6">
                  <c:v>93.83</c:v>
                </c:pt>
                <c:pt idx="7">
                  <c:v>29.71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D6-4BE6-AEE9-ADAE422F9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235696976"/>
        <c:axId val="1235717136"/>
        <c:axId val="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'SBI AMC VS HDFC AMC'!$C$2:$C$3</c15:sqref>
                        </c15:formulaRef>
                      </c:ext>
                    </c:extLst>
                    <c:strCache>
                      <c:ptCount val="2"/>
                      <c:pt idx="0">
                        <c:v>Key Indicators</c:v>
                      </c:pt>
                      <c:pt idx="1">
                        <c:v>Face Value/ Share</c:v>
                      </c:pt>
                    </c:strCache>
                  </c:strRef>
                </c:tx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accent1">
                        <a:lumMod val="75000"/>
                      </a:schemeClr>
                    </a:solidFill>
                    <a:round/>
                  </a:ln>
                  <a:effectLst/>
                  <a:sp3d contourW="9525">
                    <a:contourClr>
                      <a:schemeClr val="accent1">
                        <a:lumMod val="75000"/>
                      </a:schemeClr>
                    </a:contourClr>
                  </a:sp3d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'SBI AMC VS HDFC AMC'!$B$4:$B$11</c15:sqref>
                        </c15:formulaRef>
                      </c:ext>
                    </c:extLst>
                    <c:strCache>
                      <c:ptCount val="8"/>
                      <c:pt idx="0">
                        <c:v>PE Ratio</c:v>
                      </c:pt>
                      <c:pt idx="1">
                        <c:v>Price / Sales</c:v>
                      </c:pt>
                      <c:pt idx="2">
                        <c:v>Book Value/ Share (in Rs.)</c:v>
                      </c:pt>
                      <c:pt idx="3">
                        <c:v>Price / Book value (P/B)</c:v>
                      </c:pt>
                      <c:pt idx="4">
                        <c:v>EPS</c:v>
                      </c:pt>
                      <c:pt idx="5">
                        <c:v>Dividend/ Share (in Rs.)</c:v>
                      </c:pt>
                      <c:pt idx="6">
                        <c:v>Current Ratio</c:v>
                      </c:pt>
                      <c:pt idx="7">
                        <c:v>EV/ Revenue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'SBI AMC VS HDFC AMC'!$C$4:$C$11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8D6-4BE6-AEE9-ADAE422F9C64}"/>
                  </c:ext>
                </c:extLst>
              </c15:ser>
            </c15:filteredBarSeries>
          </c:ext>
        </c:extLst>
      </c:bar3DChart>
      <c:catAx>
        <c:axId val="1235696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717136"/>
        <c:crosses val="autoZero"/>
        <c:auto val="1"/>
        <c:lblAlgn val="ctr"/>
        <c:lblOffset val="100"/>
        <c:noMultiLvlLbl val="0"/>
      </c:catAx>
      <c:valAx>
        <c:axId val="123571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9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Ratio</a:t>
            </a:r>
            <a:r>
              <a:rPr lang="en-IN" baseline="0"/>
              <a:t>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1"/>
          <c:order val="1"/>
          <c:tx>
            <c:strRef>
              <c:f>'SBI AMC VS HDFC AMC'!$I$2</c:f>
              <c:strCache>
                <c:ptCount val="1"/>
                <c:pt idx="0">
                  <c:v>SBI AMC (Unlisted)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'SBI AMC VS HDFC AMC'!$G$3:$G$13</c:f>
              <c:strCache>
                <c:ptCount val="11"/>
                <c:pt idx="0">
                  <c:v>Return on Assets (ROA) %</c:v>
                </c:pt>
                <c:pt idx="1">
                  <c:v>Return on Equity (ROE) %</c:v>
                </c:pt>
                <c:pt idx="2">
                  <c:v>Net Interest Margin </c:v>
                </c:pt>
                <c:pt idx="3">
                  <c:v>Asset Turnover Ratio %</c:v>
                </c:pt>
                <c:pt idx="4">
                  <c:v>Dividend Yield %</c:v>
                </c:pt>
                <c:pt idx="5">
                  <c:v>ROCE %</c:v>
                </c:pt>
                <c:pt idx="6">
                  <c:v>Operating Margin %</c:v>
                </c:pt>
                <c:pt idx="7">
                  <c:v>Dividend Payout %</c:v>
                </c:pt>
                <c:pt idx="8">
                  <c:v>Net Profit Ratio %</c:v>
                </c:pt>
                <c:pt idx="9">
                  <c:v>EBITDA Margin%</c:v>
                </c:pt>
                <c:pt idx="10">
                  <c:v>Asset Turnover %</c:v>
                </c:pt>
              </c:strCache>
            </c:strRef>
          </c:cat>
          <c:val>
            <c:numRef>
              <c:f>'SBI AMC VS HDFC AMC'!$I$3:$I$13</c:f>
              <c:numCache>
                <c:formatCode>0.00%</c:formatCode>
                <c:ptCount val="11"/>
                <c:pt idx="0" formatCode="0.0%">
                  <c:v>0.29199999999999998</c:v>
                </c:pt>
                <c:pt idx="1">
                  <c:v>0.30719999999999997</c:v>
                </c:pt>
                <c:pt idx="2">
                  <c:v>2.35E-2</c:v>
                </c:pt>
                <c:pt idx="3">
                  <c:v>0.46060000000000001</c:v>
                </c:pt>
                <c:pt idx="4">
                  <c:v>1.5E-3</c:v>
                </c:pt>
                <c:pt idx="5">
                  <c:v>0.38540000000000002</c:v>
                </c:pt>
                <c:pt idx="6" formatCode="0%">
                  <c:v>0.82</c:v>
                </c:pt>
                <c:pt idx="7" formatCode="0%">
                  <c:v>0.02</c:v>
                </c:pt>
                <c:pt idx="8">
                  <c:v>0.63329999999999997</c:v>
                </c:pt>
                <c:pt idx="9">
                  <c:v>0.78369999999999995</c:v>
                </c:pt>
                <c:pt idx="10" formatCode="0%">
                  <c:v>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BC-4ACC-927D-5B391E049BF4}"/>
            </c:ext>
          </c:extLst>
        </c:ser>
        <c:ser>
          <c:idx val="2"/>
          <c:order val="2"/>
          <c:tx>
            <c:strRef>
              <c:f>'SBI AMC VS HDFC AMC'!$J$2</c:f>
              <c:strCache>
                <c:ptCount val="1"/>
                <c:pt idx="0">
                  <c:v>HDFC AMC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6.1928336236732037E-2"/>
                  <c:y val="-6.23518223670224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BC-4ACC-927D-5B391E049B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'SBI AMC VS HDFC AMC'!$G$3:$G$13</c:f>
              <c:strCache>
                <c:ptCount val="11"/>
                <c:pt idx="0">
                  <c:v>Return on Assets (ROA) %</c:v>
                </c:pt>
                <c:pt idx="1">
                  <c:v>Return on Equity (ROE) %</c:v>
                </c:pt>
                <c:pt idx="2">
                  <c:v>Net Interest Margin </c:v>
                </c:pt>
                <c:pt idx="3">
                  <c:v>Asset Turnover Ratio %</c:v>
                </c:pt>
                <c:pt idx="4">
                  <c:v>Dividend Yield %</c:v>
                </c:pt>
                <c:pt idx="5">
                  <c:v>ROCE %</c:v>
                </c:pt>
                <c:pt idx="6">
                  <c:v>Operating Margin %</c:v>
                </c:pt>
                <c:pt idx="7">
                  <c:v>Dividend Payout %</c:v>
                </c:pt>
                <c:pt idx="8">
                  <c:v>Net Profit Ratio %</c:v>
                </c:pt>
                <c:pt idx="9">
                  <c:v>EBITDA Margin%</c:v>
                </c:pt>
                <c:pt idx="10">
                  <c:v>Asset Turnover %</c:v>
                </c:pt>
              </c:strCache>
            </c:strRef>
          </c:cat>
          <c:val>
            <c:numRef>
              <c:f>'SBI AMC VS HDFC AMC'!$J$3:$J$13</c:f>
              <c:numCache>
                <c:formatCode>0.0%</c:formatCode>
                <c:ptCount val="11"/>
                <c:pt idx="0" formatCode="0.00%">
                  <c:v>0.25259999999999999</c:v>
                </c:pt>
                <c:pt idx="1">
                  <c:v>0.32400000000000001</c:v>
                </c:pt>
                <c:pt idx="2">
                  <c:v>3.6499999999999998E-2</c:v>
                </c:pt>
                <c:pt idx="3" formatCode="0.00%">
                  <c:v>0.46260000000000001</c:v>
                </c:pt>
                <c:pt idx="4" formatCode="0.00%">
                  <c:v>1.8200000000000001E-2</c:v>
                </c:pt>
                <c:pt idx="5">
                  <c:v>0.433</c:v>
                </c:pt>
                <c:pt idx="6" formatCode="0.00%">
                  <c:v>0.78129999999999999</c:v>
                </c:pt>
                <c:pt idx="7" formatCode="0%">
                  <c:v>0.61</c:v>
                </c:pt>
                <c:pt idx="8" formatCode="0%">
                  <c:v>0.73819999999999997</c:v>
                </c:pt>
                <c:pt idx="9">
                  <c:v>0.82599999999999996</c:v>
                </c:pt>
                <c:pt idx="10" formatCode="0%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BC-4ACC-927D-5B391E049B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235697936"/>
        <c:axId val="1235709936"/>
        <c:axId val="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'SBI AMC VS HDFC AMC'!$H$2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accent1">
                        <a:lumMod val="75000"/>
                      </a:schemeClr>
                    </a:solidFill>
                    <a:round/>
                  </a:ln>
                  <a:effectLst/>
                  <a:sp3d contourW="9525">
                    <a:contourClr>
                      <a:schemeClr val="accent1">
                        <a:lumMod val="75000"/>
                      </a:schemeClr>
                    </a:contourClr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'SBI AMC VS HDFC AMC'!$G$3:$G$13</c15:sqref>
                        </c15:formulaRef>
                      </c:ext>
                    </c:extLst>
                    <c:strCache>
                      <c:ptCount val="11"/>
                      <c:pt idx="0">
                        <c:v>Return on Assets (ROA) %</c:v>
                      </c:pt>
                      <c:pt idx="1">
                        <c:v>Return on Equity (ROE) %</c:v>
                      </c:pt>
                      <c:pt idx="2">
                        <c:v>Net Interest Margin </c:v>
                      </c:pt>
                      <c:pt idx="3">
                        <c:v>Asset Turnover Ratio %</c:v>
                      </c:pt>
                      <c:pt idx="4">
                        <c:v>Dividend Yield %</c:v>
                      </c:pt>
                      <c:pt idx="5">
                        <c:v>ROCE %</c:v>
                      </c:pt>
                      <c:pt idx="6">
                        <c:v>Operating Margin %</c:v>
                      </c:pt>
                      <c:pt idx="7">
                        <c:v>Dividend Payout %</c:v>
                      </c:pt>
                      <c:pt idx="8">
                        <c:v>Net Profit Ratio %</c:v>
                      </c:pt>
                      <c:pt idx="9">
                        <c:v>EBITDA Margin%</c:v>
                      </c:pt>
                      <c:pt idx="10">
                        <c:v>Asset Turnover %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'SBI AMC VS HDFC AMC'!$H$3:$H$13</c15:sqref>
                        </c15:formulaRef>
                      </c:ext>
                    </c:extLst>
                    <c:numCache>
                      <c:formatCode>General</c:formatCode>
                      <c:ptCount val="1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EBC-4ACC-927D-5B391E049BF4}"/>
                  </c:ext>
                </c:extLst>
              </c15:ser>
            </c15:filteredBarSeries>
          </c:ext>
        </c:extLst>
      </c:bar3DChart>
      <c:catAx>
        <c:axId val="1235697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709936"/>
        <c:crosses val="autoZero"/>
        <c:auto val="1"/>
        <c:lblAlgn val="ctr"/>
        <c:lblOffset val="100"/>
        <c:noMultiLvlLbl val="0"/>
      </c:catAx>
      <c:valAx>
        <c:axId val="1235709936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9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FF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Financials!$C$2</c:f>
              <c:strCache>
                <c:ptCount val="1"/>
                <c:pt idx="0">
                  <c:v>Revenue Growth %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Financials!$B$3:$B$8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Financials!$C$3:$C$8</c:f>
              <c:numCache>
                <c:formatCode>General</c:formatCode>
                <c:ptCount val="6"/>
                <c:pt idx="0">
                  <c:v>22</c:v>
                </c:pt>
                <c:pt idx="1">
                  <c:v>-16</c:v>
                </c:pt>
                <c:pt idx="2">
                  <c:v>23</c:v>
                </c:pt>
                <c:pt idx="3">
                  <c:v>23</c:v>
                </c:pt>
                <c:pt idx="4">
                  <c:v>21</c:v>
                </c:pt>
                <c:pt idx="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F-41D5-8863-992DF02F8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10325536"/>
        <c:axId val="1010336096"/>
      </c:barChart>
      <c:catAx>
        <c:axId val="101032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336096"/>
        <c:crosses val="autoZero"/>
        <c:auto val="1"/>
        <c:lblAlgn val="ctr"/>
        <c:lblOffset val="100"/>
        <c:noMultiLvlLbl val="0"/>
      </c:catAx>
      <c:valAx>
        <c:axId val="101033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32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Financials!$C$14</c:f>
              <c:strCache>
                <c:ptCount val="1"/>
                <c:pt idx="0">
                  <c:v>EBITDA Margin %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Financials!$B$15:$B$20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Financials!$C$15:$C$20</c:f>
              <c:numCache>
                <c:formatCode>General</c:formatCode>
                <c:ptCount val="6"/>
                <c:pt idx="0">
                  <c:v>43</c:v>
                </c:pt>
                <c:pt idx="1">
                  <c:v>63</c:v>
                </c:pt>
                <c:pt idx="2">
                  <c:v>72</c:v>
                </c:pt>
                <c:pt idx="3">
                  <c:v>73</c:v>
                </c:pt>
                <c:pt idx="4">
                  <c:v>75</c:v>
                </c:pt>
                <c:pt idx="5">
                  <c:v>79.3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8-41FF-9680-7B3F65929E9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25740752"/>
        <c:axId val="1625729712"/>
      </c:barChart>
      <c:catAx>
        <c:axId val="162574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729712"/>
        <c:crosses val="autoZero"/>
        <c:auto val="1"/>
        <c:lblAlgn val="ctr"/>
        <c:lblOffset val="100"/>
        <c:noMultiLvlLbl val="0"/>
      </c:catAx>
      <c:valAx>
        <c:axId val="16257297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2574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FF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FF00"/>
                </a:solidFill>
              </a:rPr>
              <a:t>EPS Growth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FF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Financials!$C$22</c:f>
              <c:strCache>
                <c:ptCount val="1"/>
                <c:pt idx="0">
                  <c:v>Net Cash Flow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Financials!$B$23:$B$28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Financials!$C$23:$C$28</c:f>
              <c:numCache>
                <c:formatCode>General</c:formatCode>
                <c:ptCount val="6"/>
                <c:pt idx="0">
                  <c:v>28</c:v>
                </c:pt>
                <c:pt idx="1">
                  <c:v>40</c:v>
                </c:pt>
                <c:pt idx="2">
                  <c:v>43</c:v>
                </c:pt>
                <c:pt idx="3">
                  <c:v>25</c:v>
                </c:pt>
                <c:pt idx="4">
                  <c:v>23</c:v>
                </c:pt>
                <c:pt idx="5">
                  <c:v>58.1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D-4ED3-95FF-B93CF9BA3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25722032"/>
        <c:axId val="1625724432"/>
      </c:barChart>
      <c:catAx>
        <c:axId val="1625722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724432"/>
        <c:crosses val="autoZero"/>
        <c:auto val="1"/>
        <c:lblAlgn val="ctr"/>
        <c:lblOffset val="100"/>
        <c:noMultiLvlLbl val="0"/>
      </c:catAx>
      <c:valAx>
        <c:axId val="162572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72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 Profit (in Cr)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Financials!$B$32</c:f>
              <c:strCache>
                <c:ptCount val="1"/>
                <c:pt idx="0">
                  <c:v>2021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Financials!$C$31</c:f>
              <c:strCache>
                <c:ptCount val="1"/>
                <c:pt idx="0">
                  <c:v>Net Profit (in Cr)</c:v>
                </c:pt>
              </c:strCache>
            </c:strRef>
          </c:cat>
          <c:val>
            <c:numRef>
              <c:f>Financials!$C$32</c:f>
              <c:numCache>
                <c:formatCode>General</c:formatCode>
                <c:ptCount val="1"/>
                <c:pt idx="0">
                  <c:v>862.6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F-42BB-A07C-8BD803E39EE7}"/>
            </c:ext>
          </c:extLst>
        </c:ser>
        <c:ser>
          <c:idx val="1"/>
          <c:order val="1"/>
          <c:tx>
            <c:strRef>
              <c:f>Financials!$B$33</c:f>
              <c:strCache>
                <c:ptCount val="1"/>
                <c:pt idx="0">
                  <c:v>2022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Financials!$C$31</c:f>
              <c:strCache>
                <c:ptCount val="1"/>
                <c:pt idx="0">
                  <c:v>Net Profit (in Cr)</c:v>
                </c:pt>
              </c:strCache>
            </c:strRef>
          </c:cat>
          <c:val>
            <c:numRef>
              <c:f>Financials!$C$33</c:f>
              <c:numCache>
                <c:formatCode>General</c:formatCode>
                <c:ptCount val="1"/>
                <c:pt idx="0">
                  <c:v>1082.4000000000001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3F-42BB-A07C-8BD803E39EE7}"/>
            </c:ext>
          </c:extLst>
        </c:ser>
        <c:ser>
          <c:idx val="2"/>
          <c:order val="2"/>
          <c:tx>
            <c:strRef>
              <c:f>Financials!$B$34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Financials!$C$31</c:f>
              <c:strCache>
                <c:ptCount val="1"/>
                <c:pt idx="0">
                  <c:v>Net Profit (in Cr)</c:v>
                </c:pt>
              </c:strCache>
            </c:strRef>
          </c:cat>
          <c:val>
            <c:numRef>
              <c:f>Financials!$C$34</c:f>
              <c:numCache>
                <c:formatCode>General</c:formatCode>
                <c:ptCount val="1"/>
                <c:pt idx="0">
                  <c:v>1339.7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3F-42BB-A07C-8BD803E39EE7}"/>
            </c:ext>
          </c:extLst>
        </c:ser>
        <c:ser>
          <c:idx val="3"/>
          <c:order val="3"/>
          <c:tx>
            <c:strRef>
              <c:f>Financials!$B$35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Financials!$C$31</c:f>
              <c:strCache>
                <c:ptCount val="1"/>
                <c:pt idx="0">
                  <c:v>Net Profit (in Cr)</c:v>
                </c:pt>
              </c:strCache>
            </c:strRef>
          </c:cat>
          <c:val>
            <c:numRef>
              <c:f>Financials!$C$35</c:f>
              <c:numCache>
                <c:formatCode>General</c:formatCode>
                <c:ptCount val="1"/>
                <c:pt idx="0">
                  <c:v>2072.8000000000002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3F-42BB-A07C-8BD803E39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25730192"/>
        <c:axId val="1625743152"/>
      </c:barChart>
      <c:catAx>
        <c:axId val="162573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743152"/>
        <c:crosses val="autoZero"/>
        <c:auto val="1"/>
        <c:lblAlgn val="ctr"/>
        <c:lblOffset val="100"/>
        <c:noMultiLvlLbl val="0"/>
      </c:catAx>
      <c:valAx>
        <c:axId val="162574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73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66674</xdr:colOff>
      <xdr:row>25</xdr:row>
      <xdr:rowOff>133350</xdr:rowOff>
    </xdr:from>
    <xdr:to>
      <xdr:col>6</xdr:col>
      <xdr:colOff>25400</xdr:colOff>
      <xdr:row>41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EA6AF2-5204-93DC-898C-BA25862CB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285750</xdr:colOff>
      <xdr:row>2</xdr:row>
      <xdr:rowOff>107950</xdr:rowOff>
    </xdr:from>
    <xdr:to>
      <xdr:col>15</xdr:col>
      <xdr:colOff>203200</xdr:colOff>
      <xdr:row>24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9379AE-7C6F-D295-9DB3-E5D5070EE7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1955800</xdr:colOff>
      <xdr:row>8</xdr:row>
      <xdr:rowOff>158750</xdr:rowOff>
    </xdr:from>
    <xdr:to>
      <xdr:col>5</xdr:col>
      <xdr:colOff>282575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E07028-97C2-FB56-092A-ADF3FB8544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555625</xdr:colOff>
      <xdr:row>3</xdr:row>
      <xdr:rowOff>44450</xdr:rowOff>
    </xdr:from>
    <xdr:to>
      <xdr:col>11</xdr:col>
      <xdr:colOff>63500</xdr:colOff>
      <xdr:row>17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989A3C-F32E-92EF-FA20-8C5F923D7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19</xdr:row>
      <xdr:rowOff>95250</xdr:rowOff>
    </xdr:from>
    <xdr:to>
      <xdr:col>5</xdr:col>
      <xdr:colOff>234950</xdr:colOff>
      <xdr:row>34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438F04-F22B-1807-473F-0D9453235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577850</xdr:colOff>
      <xdr:row>1</xdr:row>
      <xdr:rowOff>158750</xdr:rowOff>
    </xdr:from>
    <xdr:to>
      <xdr:col>14</xdr:col>
      <xdr:colOff>546100</xdr:colOff>
      <xdr:row>19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D64219-4ABF-E85F-52AF-D5CE5A86A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31750</xdr:rowOff>
    </xdr:from>
    <xdr:to>
      <xdr:col>12</xdr:col>
      <xdr:colOff>358775</xdr:colOff>
      <xdr:row>18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0AD214-D0D5-750D-759F-E8EE21F06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174625</xdr:colOff>
      <xdr:row>3</xdr:row>
      <xdr:rowOff>31750</xdr:rowOff>
    </xdr:from>
    <xdr:to>
      <xdr:col>10</xdr:col>
      <xdr:colOff>479425</xdr:colOff>
      <xdr:row>18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DCE702-2F8F-3A1C-2B99-0C11AD56C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606425</xdr:colOff>
      <xdr:row>4</xdr:row>
      <xdr:rowOff>25400</xdr:rowOff>
    </xdr:from>
    <xdr:to>
      <xdr:col>11</xdr:col>
      <xdr:colOff>301625</xdr:colOff>
      <xdr:row>19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71D2CE-829E-CD42-FE81-F4AFD6A70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561975</xdr:colOff>
      <xdr:row>2</xdr:row>
      <xdr:rowOff>152400</xdr:rowOff>
    </xdr:from>
    <xdr:to>
      <xdr:col>13</xdr:col>
      <xdr:colOff>257175</xdr:colOff>
      <xdr:row>17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A08671-22E1-E272-0997-5BBC70A9F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63500</xdr:colOff>
      <xdr:row>19</xdr:row>
      <xdr:rowOff>76200</xdr:rowOff>
    </xdr:from>
    <xdr:to>
      <xdr:col>13</xdr:col>
      <xdr:colOff>441325</xdr:colOff>
      <xdr:row>36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6FB04F-FAB5-486D-B299-50C1B7E12D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193675</xdr:colOff>
      <xdr:row>25</xdr:row>
      <xdr:rowOff>57150</xdr:rowOff>
    </xdr:from>
    <xdr:to>
      <xdr:col>12</xdr:col>
      <xdr:colOff>168275</xdr:colOff>
      <xdr:row>40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E2A5CF-26C7-C111-E73B-E852E2FB7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390524</xdr:colOff>
      <xdr:row>13</xdr:row>
      <xdr:rowOff>6350</xdr:rowOff>
    </xdr:from>
    <xdr:to>
      <xdr:col>6</xdr:col>
      <xdr:colOff>82550</xdr:colOff>
      <xdr:row>33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6E9D25-03B1-BFC9-AD39-5DED857D2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1143659</xdr:colOff>
      <xdr:row>36</xdr:row>
      <xdr:rowOff>139831</xdr:rowOff>
    </xdr:from>
    <xdr:to>
      <xdr:col>7</xdr:col>
      <xdr:colOff>701146</xdr:colOff>
      <xdr:row>65</xdr:row>
      <xdr:rowOff>33073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514392-A0DF-FA12-DA94-A5F9E2F61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73025</xdr:colOff>
      <xdr:row>0</xdr:row>
      <xdr:rowOff>127000</xdr:rowOff>
    </xdr:from>
    <xdr:to>
      <xdr:col>11</xdr:col>
      <xdr:colOff>209550</xdr:colOff>
      <xdr:row>12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8E0157-9A44-7977-347E-5CAD5E27F7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584199</xdr:colOff>
      <xdr:row>5</xdr:row>
      <xdr:rowOff>25400</xdr:rowOff>
    </xdr:from>
    <xdr:to>
      <xdr:col>17</xdr:col>
      <xdr:colOff>314324</xdr:colOff>
      <xdr:row>14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96164A-8953-245F-C46B-747C512FC1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473075</xdr:colOff>
      <xdr:row>15</xdr:row>
      <xdr:rowOff>31750</xdr:rowOff>
    </xdr:from>
    <xdr:to>
      <xdr:col>11</xdr:col>
      <xdr:colOff>260350</xdr:colOff>
      <xdr:row>27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69AAD9-E638-E5C9-37B6-109638358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574675</xdr:colOff>
      <xdr:row>30</xdr:row>
      <xdr:rowOff>139700</xdr:rowOff>
    </xdr:from>
    <xdr:to>
      <xdr:col>13</xdr:col>
      <xdr:colOff>269875</xdr:colOff>
      <xdr:row>45</xdr:row>
      <xdr:rowOff>107950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3E9B0CA-FDFC-9084-0648-A3335B22E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2</xdr:row>
      <xdr:rowOff>0</xdr:rowOff>
    </xdr:from>
    <xdr:to>
      <xdr:col>7</xdr:col>
      <xdr:colOff>466292</xdr:colOff>
      <xdr:row>14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15D6EC-7F2A-FBC6-F7BA-F4C33E379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99" y="184150"/>
          <a:ext cx="4657293" cy="2381250"/>
        </a:xfrm>
        <a:prstGeom prst="rect">
          <a:avLst/>
        </a:prstGeom>
      </xdr:spPr>
    </xdr:pic>
    <xdr:clientData/>
  </xdr:twoCellAnchor>
  <xdr:twoCellAnchor editAs="oneCell">
    <xdr:from>
      <xdr:col>7</xdr:col>
      <xdr:colOff>558799</xdr:colOff>
      <xdr:row>2</xdr:row>
      <xdr:rowOff>19050</xdr:rowOff>
    </xdr:from>
    <xdr:to>
      <xdr:col>15</xdr:col>
      <xdr:colOff>184332</xdr:colOff>
      <xdr:row>15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AFA9AD-A878-A14B-24CE-DE48D73A0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5999" y="203200"/>
          <a:ext cx="4502333" cy="2387600"/>
        </a:xfrm>
        <a:prstGeom prst="rect">
          <a:avLst/>
        </a:prstGeom>
      </xdr:spPr>
    </xdr:pic>
    <xdr:clientData/>
  </xdr:twoCellAnchor>
  <xdr:twoCellAnchor editAs="oneCell">
    <xdr:from>
      <xdr:col>2</xdr:col>
      <xdr:colOff>501650</xdr:colOff>
      <xdr:row>16</xdr:row>
      <xdr:rowOff>0</xdr:rowOff>
    </xdr:from>
    <xdr:to>
      <xdr:col>11</xdr:col>
      <xdr:colOff>12700</xdr:colOff>
      <xdr:row>29</xdr:row>
      <xdr:rowOff>113609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B0A6741-00B7-86C4-EE35-7957F6268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0850" y="2762250"/>
          <a:ext cx="4997450" cy="25075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7"/>
  <sheetViews>
    <sheetView tabSelected="1" topLeftCell="C13" zoomScale="90" zoomScaleNormal="90" workbookViewId="0">
      <selection activeCell="K29" sqref="K29"/>
    </sheetView>
  </sheetViews>
  <sheetFormatPr defaultRowHeight="14.5" x14ac:dyDescent="0.35"/>
  <cols>
    <col min="3" max="3" width="48.36328125" customWidth="1"/>
    <col min="4" max="4" width="25.6328125" customWidth="1"/>
    <col min="5" max="5" width="16.90625" customWidth="1"/>
  </cols>
  <sheetData>
    <row r="1" spans="2:9" ht="15" thickBot="1" x14ac:dyDescent="0.4"/>
    <row r="2" spans="2:9" ht="15" thickBot="1" x14ac:dyDescent="0.4">
      <c r="B2" s="5" t="s">
        <v>0</v>
      </c>
      <c r="C2" s="5" t="s">
        <v>1</v>
      </c>
      <c r="D2" s="5" t="s">
        <v>51</v>
      </c>
      <c r="E2" s="6" t="s">
        <v>22</v>
      </c>
    </row>
    <row r="3" spans="2:9" ht="15" thickBot="1" x14ac:dyDescent="0.4">
      <c r="B3" s="43">
        <v>1</v>
      </c>
      <c r="C3" s="43" t="s">
        <v>2</v>
      </c>
      <c r="D3" s="44">
        <v>1114125.71</v>
      </c>
      <c r="E3" s="45">
        <v>0.16020000000000001</v>
      </c>
    </row>
    <row r="4" spans="2:9" x14ac:dyDescent="0.35">
      <c r="B4" s="8">
        <v>2</v>
      </c>
      <c r="C4" s="8" t="s">
        <v>3</v>
      </c>
      <c r="D4" s="30">
        <v>965956.95</v>
      </c>
      <c r="E4" s="10">
        <v>0.1389</v>
      </c>
    </row>
    <row r="5" spans="2:9" x14ac:dyDescent="0.35">
      <c r="B5" s="8">
        <v>3</v>
      </c>
      <c r="C5" s="8" t="s">
        <v>4</v>
      </c>
      <c r="D5" s="30">
        <v>831984.35</v>
      </c>
      <c r="E5" s="10">
        <v>0.1196</v>
      </c>
    </row>
    <row r="6" spans="2:9" ht="15" thickBot="1" x14ac:dyDescent="0.4">
      <c r="B6" s="13">
        <v>4</v>
      </c>
      <c r="C6" s="13" t="s">
        <v>5</v>
      </c>
      <c r="D6" s="63">
        <v>603689.89</v>
      </c>
      <c r="E6" s="15">
        <v>8.6800000000000002E-2</v>
      </c>
      <c r="H6" s="1"/>
    </row>
    <row r="7" spans="2:9" x14ac:dyDescent="0.35">
      <c r="B7" s="8">
        <v>5</v>
      </c>
      <c r="C7" s="8" t="s">
        <v>6</v>
      </c>
      <c r="D7" s="30">
        <v>516885.64</v>
      </c>
      <c r="E7" s="10">
        <v>7.4399999999999994E-2</v>
      </c>
    </row>
    <row r="8" spans="2:9" x14ac:dyDescent="0.35">
      <c r="B8" s="8">
        <v>6</v>
      </c>
      <c r="C8" s="8" t="s">
        <v>7</v>
      </c>
      <c r="D8" s="30">
        <v>396506.16</v>
      </c>
      <c r="E8" s="10">
        <v>5.7000000000000002E-2</v>
      </c>
    </row>
    <row r="9" spans="2:9" x14ac:dyDescent="0.35">
      <c r="B9" s="8"/>
      <c r="C9" s="8" t="s">
        <v>30</v>
      </c>
      <c r="D9" s="30">
        <f>D24-SUM(D3:D8)</f>
        <v>2790462.3</v>
      </c>
      <c r="E9" s="10">
        <f>100%-SUM(E3:E8)</f>
        <v>0.36309999999999987</v>
      </c>
    </row>
    <row r="10" spans="2:9" x14ac:dyDescent="0.35">
      <c r="B10" s="8">
        <v>7</v>
      </c>
      <c r="C10" s="8" t="s">
        <v>8</v>
      </c>
      <c r="D10" s="9">
        <v>330037.78000000003</v>
      </c>
      <c r="E10" s="10">
        <v>4.7500000000000001E-2</v>
      </c>
    </row>
    <row r="11" spans="2:9" x14ac:dyDescent="0.35">
      <c r="B11" s="8">
        <v>8</v>
      </c>
      <c r="C11" s="8" t="s">
        <v>9</v>
      </c>
      <c r="D11" s="9">
        <v>323527.52</v>
      </c>
      <c r="E11" s="10">
        <v>4.65E-2</v>
      </c>
      <c r="I11" s="2"/>
    </row>
    <row r="12" spans="2:9" x14ac:dyDescent="0.35">
      <c r="B12" s="8">
        <v>9</v>
      </c>
      <c r="C12" s="8" t="s">
        <v>10</v>
      </c>
      <c r="D12" s="9">
        <v>198433.18</v>
      </c>
      <c r="E12" s="10">
        <v>2.8500000000000001E-2</v>
      </c>
    </row>
    <row r="13" spans="2:9" x14ac:dyDescent="0.35">
      <c r="B13" s="8">
        <v>10</v>
      </c>
      <c r="C13" s="8" t="s">
        <v>11</v>
      </c>
      <c r="D13" s="11">
        <v>189764.82</v>
      </c>
      <c r="E13" s="12">
        <v>2.7300000000000001E-2</v>
      </c>
    </row>
    <row r="14" spans="2:9" x14ac:dyDescent="0.35">
      <c r="B14" s="8">
        <v>11</v>
      </c>
      <c r="C14" s="8" t="s">
        <v>12</v>
      </c>
      <c r="D14" s="11">
        <v>173142.96</v>
      </c>
      <c r="E14" s="10">
        <v>2.4899999999999999E-2</v>
      </c>
      <c r="G14" s="1"/>
    </row>
    <row r="15" spans="2:9" x14ac:dyDescent="0.35">
      <c r="B15" s="8">
        <v>12</v>
      </c>
      <c r="C15" s="8" t="s">
        <v>13</v>
      </c>
      <c r="D15" s="9">
        <v>171932.01</v>
      </c>
      <c r="E15" s="10">
        <v>2.47E-2</v>
      </c>
    </row>
    <row r="16" spans="2:9" x14ac:dyDescent="0.35">
      <c r="B16" s="8">
        <v>13</v>
      </c>
      <c r="C16" s="8" t="s">
        <v>14</v>
      </c>
      <c r="D16" s="9">
        <v>164926.64000000001</v>
      </c>
      <c r="E16" s="10">
        <v>2.3699999999999999E-2</v>
      </c>
    </row>
    <row r="17" spans="2:5" x14ac:dyDescent="0.35">
      <c r="B17" s="8">
        <v>14</v>
      </c>
      <c r="C17" s="8" t="s">
        <v>15</v>
      </c>
      <c r="D17" s="9">
        <v>124993.35</v>
      </c>
      <c r="E17" s="10">
        <v>1.7999999999999999E-2</v>
      </c>
    </row>
    <row r="18" spans="2:5" x14ac:dyDescent="0.35">
      <c r="B18" s="8">
        <v>15</v>
      </c>
      <c r="C18" s="8" t="s">
        <v>16</v>
      </c>
      <c r="D18" s="9">
        <v>116092.34</v>
      </c>
      <c r="E18" s="10">
        <v>1.67E-2</v>
      </c>
    </row>
    <row r="19" spans="2:5" x14ac:dyDescent="0.35">
      <c r="B19" s="8">
        <v>16</v>
      </c>
      <c r="C19" s="8" t="s">
        <v>17</v>
      </c>
      <c r="D19" s="9">
        <v>114379.72</v>
      </c>
      <c r="E19" s="10">
        <v>1.6500000000000001E-2</v>
      </c>
    </row>
    <row r="20" spans="2:5" x14ac:dyDescent="0.35">
      <c r="B20" s="8">
        <v>17</v>
      </c>
      <c r="C20" s="8" t="s">
        <v>18</v>
      </c>
      <c r="D20" s="9">
        <v>112582.26</v>
      </c>
      <c r="E20" s="10">
        <v>1.6199999999999999E-2</v>
      </c>
    </row>
    <row r="21" spans="2:5" x14ac:dyDescent="0.35">
      <c r="B21" s="8">
        <v>18</v>
      </c>
      <c r="C21" s="8" t="s">
        <v>19</v>
      </c>
      <c r="D21" s="9">
        <v>109345.88</v>
      </c>
      <c r="E21" s="10">
        <v>1.5699999999999999E-2</v>
      </c>
    </row>
    <row r="22" spans="2:5" x14ac:dyDescent="0.35">
      <c r="B22" s="8">
        <v>19</v>
      </c>
      <c r="C22" s="8" t="s">
        <v>20</v>
      </c>
      <c r="D22" s="9">
        <v>104921.89</v>
      </c>
      <c r="E22" s="10">
        <v>1.5100000000000001E-2</v>
      </c>
    </row>
    <row r="23" spans="2:5" ht="15" thickBot="1" x14ac:dyDescent="0.4">
      <c r="B23" s="13">
        <v>20</v>
      </c>
      <c r="C23" s="13" t="s">
        <v>21</v>
      </c>
      <c r="D23" s="14">
        <v>91727.95</v>
      </c>
      <c r="E23" s="15">
        <v>1.32E-2</v>
      </c>
    </row>
    <row r="24" spans="2:5" ht="15" thickBot="1" x14ac:dyDescent="0.4">
      <c r="B24" s="43">
        <v>21</v>
      </c>
      <c r="C24" s="43" t="s">
        <v>29</v>
      </c>
      <c r="D24" s="62">
        <v>7219611</v>
      </c>
      <c r="E24" s="43"/>
    </row>
    <row r="25" spans="2:5" x14ac:dyDescent="0.35">
      <c r="E25" s="1"/>
    </row>
    <row r="37" spans="11:12" x14ac:dyDescent="0.35">
      <c r="K37" s="64">
        <f>SUM(D3:D6)</f>
        <v>3515756.9</v>
      </c>
      <c r="L37">
        <f>(K37/D24)*100</f>
        <v>48.697317625561823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7372B-D137-4CF4-9C59-36637D885B3E}">
  <dimension ref="B1:D7"/>
  <sheetViews>
    <sheetView workbookViewId="0">
      <selection activeCell="J13" sqref="J13"/>
    </sheetView>
  </sheetViews>
  <sheetFormatPr defaultRowHeight="14.5" x14ac:dyDescent="0.35"/>
  <cols>
    <col min="2" max="2" width="58.08984375" customWidth="1"/>
    <col min="3" max="3" width="12.6328125" customWidth="1"/>
    <col min="4" max="4" width="11.6328125" customWidth="1"/>
  </cols>
  <sheetData>
    <row r="1" spans="2:4" ht="15" thickBot="1" x14ac:dyDescent="0.4"/>
    <row r="2" spans="2:4" ht="15" thickBot="1" x14ac:dyDescent="0.4">
      <c r="B2" s="65" t="s">
        <v>52</v>
      </c>
      <c r="C2" s="68">
        <v>45352</v>
      </c>
      <c r="D2" s="69">
        <v>45717</v>
      </c>
    </row>
    <row r="3" spans="2:4" x14ac:dyDescent="0.35">
      <c r="B3" s="66" t="s">
        <v>53</v>
      </c>
      <c r="C3" s="66">
        <v>6.38</v>
      </c>
      <c r="D3" s="70">
        <v>8.11</v>
      </c>
    </row>
    <row r="4" spans="2:4" hidden="1" x14ac:dyDescent="0.35">
      <c r="B4" s="66" t="s">
        <v>54</v>
      </c>
      <c r="C4" s="66">
        <v>25926</v>
      </c>
      <c r="D4" s="70">
        <v>19271</v>
      </c>
    </row>
    <row r="5" spans="2:4" x14ac:dyDescent="0.35">
      <c r="B5" s="66" t="s">
        <v>55</v>
      </c>
      <c r="C5" s="66">
        <v>1.99</v>
      </c>
      <c r="D5" s="70">
        <v>2.89</v>
      </c>
    </row>
    <row r="6" spans="2:4" x14ac:dyDescent="0.35">
      <c r="B6" s="66" t="s">
        <v>56</v>
      </c>
      <c r="C6" s="66">
        <v>10.72</v>
      </c>
      <c r="D6" s="70">
        <v>13.35</v>
      </c>
    </row>
    <row r="7" spans="2:4" ht="15" thickBot="1" x14ac:dyDescent="0.4">
      <c r="B7" s="67" t="s">
        <v>57</v>
      </c>
      <c r="C7" s="71">
        <f>20.07%*100</f>
        <v>20.07</v>
      </c>
      <c r="D7" s="72">
        <f>20.31%*100</f>
        <v>20.309999999999999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DD157-0218-435F-AE67-BA70EFBD161F}">
  <dimension ref="B1:C5"/>
  <sheetViews>
    <sheetView workbookViewId="0">
      <selection activeCell="N14" sqref="N14"/>
    </sheetView>
  </sheetViews>
  <sheetFormatPr defaultRowHeight="14.5" x14ac:dyDescent="0.35"/>
  <cols>
    <col min="3" max="3" width="25.90625" customWidth="1"/>
  </cols>
  <sheetData>
    <row r="1" spans="2:3" ht="15" thickBot="1" x14ac:dyDescent="0.4"/>
    <row r="2" spans="2:3" ht="15" thickBot="1" x14ac:dyDescent="0.4">
      <c r="B2" s="38" t="s">
        <v>58</v>
      </c>
      <c r="C2" s="75" t="s">
        <v>59</v>
      </c>
    </row>
    <row r="3" spans="2:3" x14ac:dyDescent="0.35">
      <c r="B3" s="36">
        <v>2015</v>
      </c>
      <c r="C3" s="73">
        <v>12.04</v>
      </c>
    </row>
    <row r="4" spans="2:3" x14ac:dyDescent="0.35">
      <c r="B4" s="36">
        <v>2020</v>
      </c>
      <c r="C4" s="73">
        <v>24.55</v>
      </c>
    </row>
    <row r="5" spans="2:3" ht="15" thickBot="1" x14ac:dyDescent="0.4">
      <c r="B5" s="37">
        <v>2025</v>
      </c>
      <c r="C5" s="74">
        <v>72.2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E53D4-09B0-4992-9F58-5E25BA002525}">
  <dimension ref="B1:E18"/>
  <sheetViews>
    <sheetView topLeftCell="A22" workbookViewId="0">
      <selection activeCell="F3" sqref="F3"/>
    </sheetView>
  </sheetViews>
  <sheetFormatPr defaultRowHeight="14.5" x14ac:dyDescent="0.35"/>
  <cols>
    <col min="3" max="3" width="34.1796875" customWidth="1"/>
    <col min="4" max="4" width="11.453125" customWidth="1"/>
    <col min="5" max="5" width="17" customWidth="1"/>
  </cols>
  <sheetData>
    <row r="1" spans="2:5" ht="15" thickBot="1" x14ac:dyDescent="0.4"/>
    <row r="2" spans="2:5" ht="15" thickBot="1" x14ac:dyDescent="0.4">
      <c r="B2" s="50" t="s">
        <v>0</v>
      </c>
      <c r="C2" s="50" t="s">
        <v>36</v>
      </c>
      <c r="D2" s="50" t="s">
        <v>37</v>
      </c>
      <c r="E2" s="51" t="s">
        <v>22</v>
      </c>
    </row>
    <row r="3" spans="2:5" ht="15" thickBot="1" x14ac:dyDescent="0.4">
      <c r="B3" s="46">
        <v>1</v>
      </c>
      <c r="C3" s="32" t="s">
        <v>38</v>
      </c>
      <c r="D3" s="46">
        <v>85.4</v>
      </c>
      <c r="E3" s="58">
        <f>(D3/$D$16)</f>
        <v>0.12558823529411767</v>
      </c>
    </row>
    <row r="4" spans="2:5" ht="15" thickBot="1" x14ac:dyDescent="0.4">
      <c r="B4" s="47">
        <v>2</v>
      </c>
      <c r="C4" s="8" t="s">
        <v>39</v>
      </c>
      <c r="D4" s="47">
        <v>78.900000000000006</v>
      </c>
      <c r="E4" s="58">
        <f t="shared" ref="E4:E7" si="0">(D4/$D$16)</f>
        <v>0.11602941176470589</v>
      </c>
    </row>
    <row r="5" spans="2:5" ht="15" thickBot="1" x14ac:dyDescent="0.4">
      <c r="B5" s="47">
        <v>3</v>
      </c>
      <c r="C5" s="8" t="s">
        <v>40</v>
      </c>
      <c r="D5" s="47">
        <v>68.3</v>
      </c>
      <c r="E5" s="58">
        <f t="shared" si="0"/>
        <v>0.10044117647058823</v>
      </c>
    </row>
    <row r="6" spans="2:5" ht="15" thickBot="1" x14ac:dyDescent="0.4">
      <c r="B6" s="47">
        <v>4</v>
      </c>
      <c r="C6" s="8" t="s">
        <v>41</v>
      </c>
      <c r="D6" s="47">
        <v>65.5</v>
      </c>
      <c r="E6" s="58">
        <f t="shared" si="0"/>
        <v>9.6323529411764711E-2</v>
      </c>
    </row>
    <row r="7" spans="2:5" ht="15" thickBot="1" x14ac:dyDescent="0.4">
      <c r="B7" s="48">
        <v>5</v>
      </c>
      <c r="C7" s="13" t="s">
        <v>42</v>
      </c>
      <c r="D7" s="48">
        <v>56.9</v>
      </c>
      <c r="E7" s="58">
        <f t="shared" si="0"/>
        <v>8.3676470588235297E-2</v>
      </c>
    </row>
    <row r="8" spans="2:5" ht="15" thickBot="1" x14ac:dyDescent="0.4">
      <c r="B8" s="49">
        <v>6</v>
      </c>
      <c r="C8" s="28" t="s">
        <v>43</v>
      </c>
      <c r="D8" s="49">
        <v>42.6</v>
      </c>
      <c r="E8" s="61">
        <f>(D8/$D$16)</f>
        <v>6.2647058823529417E-2</v>
      </c>
    </row>
    <row r="9" spans="2:5" ht="15" hidden="1" thickBot="1" x14ac:dyDescent="0.4">
      <c r="B9" s="55"/>
      <c r="C9" s="56" t="s">
        <v>30</v>
      </c>
      <c r="D9" s="55">
        <f>D16-D18</f>
        <v>282.39999999999998</v>
      </c>
      <c r="E9" s="59">
        <f>100%-E18</f>
        <v>0.41529411764705892</v>
      </c>
    </row>
    <row r="10" spans="2:5" ht="15" thickBot="1" x14ac:dyDescent="0.4">
      <c r="B10" s="41">
        <v>7</v>
      </c>
      <c r="C10" s="42" t="s">
        <v>44</v>
      </c>
      <c r="D10" s="41">
        <v>42.2</v>
      </c>
      <c r="E10" s="57">
        <f>(D10/$D$16)</f>
        <v>6.205882352941177E-2</v>
      </c>
    </row>
    <row r="11" spans="2:5" ht="15" thickBot="1" x14ac:dyDescent="0.4">
      <c r="B11" s="39">
        <v>8</v>
      </c>
      <c r="C11" s="36" t="s">
        <v>45</v>
      </c>
      <c r="D11" s="39">
        <v>30.6</v>
      </c>
      <c r="E11" s="57">
        <f t="shared" ref="E11:E15" si="1">(D11/$D$16)</f>
        <v>4.5000000000000005E-2</v>
      </c>
    </row>
    <row r="12" spans="2:5" ht="15" thickBot="1" x14ac:dyDescent="0.4">
      <c r="B12" s="39">
        <v>9</v>
      </c>
      <c r="C12" s="36" t="s">
        <v>46</v>
      </c>
      <c r="D12" s="39">
        <v>15.1</v>
      </c>
      <c r="E12" s="57">
        <f t="shared" si="1"/>
        <v>2.2205882352941176E-2</v>
      </c>
    </row>
    <row r="13" spans="2:5" ht="15" thickBot="1" x14ac:dyDescent="0.4">
      <c r="B13" s="40">
        <v>10</v>
      </c>
      <c r="C13" s="37" t="s">
        <v>47</v>
      </c>
      <c r="D13" s="40">
        <v>12.9</v>
      </c>
      <c r="E13" s="57">
        <f t="shared" si="1"/>
        <v>1.8970588235294118E-2</v>
      </c>
    </row>
    <row r="14" spans="2:5" ht="15" thickBot="1" x14ac:dyDescent="0.4">
      <c r="B14" s="35">
        <v>11</v>
      </c>
      <c r="C14" s="38" t="s">
        <v>48</v>
      </c>
      <c r="D14" s="35">
        <v>12</v>
      </c>
      <c r="E14" s="57">
        <f t="shared" si="1"/>
        <v>1.7647058823529412E-2</v>
      </c>
    </row>
    <row r="15" spans="2:5" ht="15" thickBot="1" x14ac:dyDescent="0.4">
      <c r="B15" s="35">
        <v>12</v>
      </c>
      <c r="C15" s="38" t="s">
        <v>49</v>
      </c>
      <c r="D15" s="35">
        <v>1.9</v>
      </c>
      <c r="E15" s="57">
        <f t="shared" si="1"/>
        <v>2.7941176470588232E-3</v>
      </c>
    </row>
    <row r="16" spans="2:5" ht="15" thickBot="1" x14ac:dyDescent="0.4">
      <c r="B16" s="52"/>
      <c r="C16" s="43" t="s">
        <v>50</v>
      </c>
      <c r="D16" s="54">
        <v>680</v>
      </c>
      <c r="E16" s="53"/>
    </row>
    <row r="18" spans="4:5" x14ac:dyDescent="0.35">
      <c r="D18">
        <f>SUM(D3:D8)</f>
        <v>397.6</v>
      </c>
      <c r="E18" s="60">
        <f>SUM(E3:E8)</f>
        <v>0.58470588235294108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0EDAA-033F-4EEB-B6CA-588E0163D948}">
  <dimension ref="B1:G19"/>
  <sheetViews>
    <sheetView workbookViewId="0">
      <selection activeCell="E3" sqref="E3"/>
    </sheetView>
  </sheetViews>
  <sheetFormatPr defaultRowHeight="14.5" x14ac:dyDescent="0.35"/>
  <cols>
    <col min="2" max="2" width="8.90625" customWidth="1"/>
    <col min="3" max="3" width="46.1796875" customWidth="1"/>
    <col min="4" max="4" width="26.08984375" customWidth="1"/>
    <col min="5" max="5" width="17.90625" customWidth="1"/>
  </cols>
  <sheetData>
    <row r="1" spans="2:7" ht="15" thickBot="1" x14ac:dyDescent="0.4"/>
    <row r="2" spans="2:7" ht="15" thickBot="1" x14ac:dyDescent="0.4">
      <c r="B2" s="5" t="s">
        <v>0</v>
      </c>
      <c r="C2" s="5" t="s">
        <v>23</v>
      </c>
      <c r="D2" s="5" t="s">
        <v>24</v>
      </c>
      <c r="E2" s="6" t="s">
        <v>22</v>
      </c>
    </row>
    <row r="3" spans="2:7" x14ac:dyDescent="0.35">
      <c r="B3" s="3">
        <v>1</v>
      </c>
      <c r="C3" s="3" t="s">
        <v>2</v>
      </c>
      <c r="D3" s="16">
        <v>1506307</v>
      </c>
      <c r="E3" s="17">
        <v>0.44900000000000001</v>
      </c>
      <c r="G3" s="2"/>
    </row>
    <row r="4" spans="2:7" ht="15" thickBot="1" x14ac:dyDescent="0.4">
      <c r="B4" s="4">
        <v>2</v>
      </c>
      <c r="C4" s="4" t="s">
        <v>8</v>
      </c>
      <c r="D4" s="7">
        <v>1378388.66</v>
      </c>
      <c r="E4" s="19">
        <v>0.40799999999999997</v>
      </c>
    </row>
    <row r="5" spans="2:7" x14ac:dyDescent="0.35">
      <c r="B5" s="22">
        <v>3</v>
      </c>
      <c r="C5" s="25" t="s">
        <v>25</v>
      </c>
      <c r="D5" s="9">
        <v>148272.04999999999</v>
      </c>
      <c r="E5" s="23">
        <v>4.3999999999999997E-2</v>
      </c>
    </row>
    <row r="6" spans="2:7" x14ac:dyDescent="0.35">
      <c r="B6" s="22">
        <v>4</v>
      </c>
      <c r="C6" s="25" t="s">
        <v>5</v>
      </c>
      <c r="D6" s="9">
        <v>79818.64</v>
      </c>
      <c r="E6" s="18">
        <v>2.4E-2</v>
      </c>
    </row>
    <row r="7" spans="2:7" x14ac:dyDescent="0.35">
      <c r="B7" s="8">
        <v>6</v>
      </c>
      <c r="C7" s="8" t="s">
        <v>19</v>
      </c>
      <c r="D7" s="9">
        <v>36102.53</v>
      </c>
      <c r="E7" s="23">
        <v>1.0999999999999999E-2</v>
      </c>
    </row>
    <row r="8" spans="2:7" x14ac:dyDescent="0.35">
      <c r="B8" s="8">
        <v>7</v>
      </c>
      <c r="C8" s="26" t="s">
        <v>28</v>
      </c>
      <c r="D8" s="9">
        <v>32602.11</v>
      </c>
      <c r="E8" s="23">
        <v>1.0999999999999999E-2</v>
      </c>
    </row>
    <row r="9" spans="2:7" x14ac:dyDescent="0.35">
      <c r="B9" s="8">
        <v>8</v>
      </c>
      <c r="C9" s="8" t="s">
        <v>27</v>
      </c>
      <c r="D9" s="9">
        <v>30679.3</v>
      </c>
      <c r="E9" s="23">
        <v>0.01</v>
      </c>
    </row>
    <row r="10" spans="2:7" x14ac:dyDescent="0.35">
      <c r="B10" s="8">
        <v>9</v>
      </c>
      <c r="C10" s="8" t="s">
        <v>7</v>
      </c>
      <c r="D10" s="9">
        <v>26831.279999999999</v>
      </c>
      <c r="E10" s="23">
        <v>7.0000000000000001E-3</v>
      </c>
    </row>
    <row r="11" spans="2:7" ht="15" thickBot="1" x14ac:dyDescent="0.4">
      <c r="B11" s="13">
        <v>10</v>
      </c>
      <c r="C11" s="13" t="s">
        <v>3</v>
      </c>
      <c r="D11" s="24">
        <v>21912.19</v>
      </c>
      <c r="E11" s="20">
        <v>7.0000000000000001E-3</v>
      </c>
    </row>
    <row r="12" spans="2:7" ht="15" thickBot="1" x14ac:dyDescent="0.4">
      <c r="B12" s="32">
        <v>11</v>
      </c>
      <c r="C12" s="32" t="s">
        <v>31</v>
      </c>
      <c r="D12" s="33">
        <v>12920.76</v>
      </c>
      <c r="E12" s="31">
        <f>D12/3700000</f>
        <v>3.4920972972972975E-3</v>
      </c>
    </row>
    <row r="13" spans="2:7" ht="15" thickBot="1" x14ac:dyDescent="0.4">
      <c r="B13" s="8">
        <v>12</v>
      </c>
      <c r="C13" s="8" t="s">
        <v>32</v>
      </c>
      <c r="D13" s="11">
        <v>5400.42</v>
      </c>
      <c r="E13" s="31">
        <f t="shared" ref="E13:E15" si="0">D13/3700000</f>
        <v>1.4595729729729729E-3</v>
      </c>
    </row>
    <row r="14" spans="2:7" ht="15" thickBot="1" x14ac:dyDescent="0.4">
      <c r="B14" s="8">
        <v>13</v>
      </c>
      <c r="C14" s="8" t="s">
        <v>33</v>
      </c>
      <c r="D14" s="11">
        <v>4504.37</v>
      </c>
      <c r="E14" s="31">
        <f t="shared" si="0"/>
        <v>1.2173972972972973E-3</v>
      </c>
    </row>
    <row r="15" spans="2:7" ht="15" thickBot="1" x14ac:dyDescent="0.4">
      <c r="B15" s="13">
        <v>14</v>
      </c>
      <c r="C15" s="13" t="s">
        <v>34</v>
      </c>
      <c r="D15" s="24">
        <v>3901.48</v>
      </c>
      <c r="E15" s="34">
        <f t="shared" si="0"/>
        <v>1.054454054054054E-3</v>
      </c>
    </row>
    <row r="17" spans="3:5" x14ac:dyDescent="0.35">
      <c r="C17" s="29" t="s">
        <v>35</v>
      </c>
    </row>
    <row r="18" spans="3:5" x14ac:dyDescent="0.35">
      <c r="C18" s="27" t="s">
        <v>26</v>
      </c>
    </row>
    <row r="19" spans="3:5" x14ac:dyDescent="0.35">
      <c r="E19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6E61-DF9E-42CB-925F-794C9F6E54CC}">
  <dimension ref="B1:C4"/>
  <sheetViews>
    <sheetView workbookViewId="0">
      <selection activeCell="O13" sqref="O13"/>
    </sheetView>
  </sheetViews>
  <sheetFormatPr defaultRowHeight="14.5" x14ac:dyDescent="0.35"/>
  <cols>
    <col min="3" max="3" width="19.81640625" customWidth="1"/>
  </cols>
  <sheetData>
    <row r="1" spans="2:3" ht="15" thickBot="1" x14ac:dyDescent="0.4"/>
    <row r="2" spans="2:3" ht="15" thickBot="1" x14ac:dyDescent="0.4">
      <c r="B2" s="76" t="s">
        <v>58</v>
      </c>
      <c r="C2" s="77" t="s">
        <v>64</v>
      </c>
    </row>
    <row r="3" spans="2:3" x14ac:dyDescent="0.35">
      <c r="B3" s="78" t="s">
        <v>60</v>
      </c>
      <c r="C3" s="79">
        <v>149</v>
      </c>
    </row>
    <row r="4" spans="2:3" ht="15" thickBot="1" x14ac:dyDescent="0.4">
      <c r="B4" s="80" t="s">
        <v>61</v>
      </c>
      <c r="C4" s="81">
        <v>405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FA696-DB4D-486C-AB2E-83AC799AD5C8}">
  <dimension ref="B1:C4"/>
  <sheetViews>
    <sheetView workbookViewId="0">
      <selection activeCell="N10" sqref="N10"/>
    </sheetView>
  </sheetViews>
  <sheetFormatPr defaultRowHeight="14.5" x14ac:dyDescent="0.35"/>
  <cols>
    <col min="3" max="3" width="31.36328125" customWidth="1"/>
  </cols>
  <sheetData>
    <row r="1" spans="2:3" ht="15" thickBot="1" x14ac:dyDescent="0.4"/>
    <row r="2" spans="2:3" ht="15" thickBot="1" x14ac:dyDescent="0.4">
      <c r="B2" s="76" t="s">
        <v>58</v>
      </c>
      <c r="C2" s="77" t="s">
        <v>62</v>
      </c>
    </row>
    <row r="3" spans="2:3" x14ac:dyDescent="0.35">
      <c r="B3" s="78" t="s">
        <v>60</v>
      </c>
      <c r="C3" s="79">
        <v>32</v>
      </c>
    </row>
    <row r="4" spans="2:3" ht="15" thickBot="1" x14ac:dyDescent="0.4">
      <c r="B4" s="80" t="s">
        <v>61</v>
      </c>
      <c r="C4" s="81">
        <v>151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52CC0-72CC-426A-ABE9-48EBEA0E0105}">
  <dimension ref="B1:C4"/>
  <sheetViews>
    <sheetView workbookViewId="0">
      <selection activeCell="N16" sqref="N16"/>
    </sheetView>
  </sheetViews>
  <sheetFormatPr defaultRowHeight="14.5" x14ac:dyDescent="0.35"/>
  <cols>
    <col min="3" max="3" width="33.90625" customWidth="1"/>
  </cols>
  <sheetData>
    <row r="1" spans="2:3" ht="15" thickBot="1" x14ac:dyDescent="0.4"/>
    <row r="2" spans="2:3" ht="15" thickBot="1" x14ac:dyDescent="0.4">
      <c r="B2" s="38"/>
      <c r="C2" s="75" t="s">
        <v>63</v>
      </c>
    </row>
    <row r="3" spans="2:3" x14ac:dyDescent="0.35">
      <c r="B3" s="39" t="s">
        <v>65</v>
      </c>
      <c r="C3" s="82">
        <v>1.1000000000000001</v>
      </c>
    </row>
    <row r="4" spans="2:3" ht="15" thickBot="1" x14ac:dyDescent="0.4">
      <c r="B4" s="40" t="s">
        <v>66</v>
      </c>
      <c r="C4" s="83">
        <v>2.2999999999999998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F77FB-A287-40BA-BE87-988B44A2DC71}">
  <dimension ref="C1:E23"/>
  <sheetViews>
    <sheetView topLeftCell="A17" workbookViewId="0">
      <selection activeCell="E34" sqref="E34"/>
    </sheetView>
  </sheetViews>
  <sheetFormatPr defaultRowHeight="14.5" x14ac:dyDescent="0.35"/>
  <cols>
    <col min="2" max="2" width="8.36328125" customWidth="1"/>
    <col min="3" max="3" width="17.54296875" customWidth="1"/>
    <col min="4" max="4" width="17.36328125" customWidth="1"/>
    <col min="5" max="5" width="18.7265625" customWidth="1"/>
  </cols>
  <sheetData>
    <row r="1" spans="3:5" ht="15" thickBot="1" x14ac:dyDescent="0.4"/>
    <row r="2" spans="3:5" ht="15" thickBot="1" x14ac:dyDescent="0.4">
      <c r="C2" s="35" t="s">
        <v>70</v>
      </c>
      <c r="D2" s="86" t="s">
        <v>67</v>
      </c>
      <c r="E2" s="75"/>
    </row>
    <row r="3" spans="3:5" ht="15" thickBot="1" x14ac:dyDescent="0.4">
      <c r="C3" s="39"/>
      <c r="D3" s="35" t="s">
        <v>68</v>
      </c>
      <c r="E3" s="90" t="s">
        <v>69</v>
      </c>
    </row>
    <row r="4" spans="3:5" x14ac:dyDescent="0.35">
      <c r="C4" s="87">
        <v>43891</v>
      </c>
      <c r="D4" s="88">
        <v>0.79</v>
      </c>
      <c r="E4" s="84">
        <f>100%-D4</f>
        <v>0.20999999999999996</v>
      </c>
    </row>
    <row r="5" spans="3:5" x14ac:dyDescent="0.35">
      <c r="C5" s="87">
        <v>44256</v>
      </c>
      <c r="D5" s="88">
        <v>0.74</v>
      </c>
      <c r="E5" s="84">
        <f t="shared" ref="E5:E8" si="0">100%-D5</f>
        <v>0.26</v>
      </c>
    </row>
    <row r="6" spans="3:5" x14ac:dyDescent="0.35">
      <c r="C6" s="87">
        <v>44621</v>
      </c>
      <c r="D6" s="88">
        <v>0.73</v>
      </c>
      <c r="E6" s="84">
        <f t="shared" si="0"/>
        <v>0.27</v>
      </c>
    </row>
    <row r="7" spans="3:5" ht="15" thickBot="1" x14ac:dyDescent="0.4">
      <c r="C7" s="87">
        <v>44986</v>
      </c>
      <c r="D7" s="88">
        <v>0.71</v>
      </c>
      <c r="E7" s="84">
        <f t="shared" si="0"/>
        <v>0.29000000000000004</v>
      </c>
    </row>
    <row r="8" spans="3:5" ht="15" thickBot="1" x14ac:dyDescent="0.4">
      <c r="C8" s="94">
        <v>45352</v>
      </c>
      <c r="D8" s="92">
        <v>0.7</v>
      </c>
      <c r="E8" s="93">
        <f t="shared" si="0"/>
        <v>0.30000000000000004</v>
      </c>
    </row>
    <row r="19" spans="3:5" ht="15" thickBot="1" x14ac:dyDescent="0.4"/>
    <row r="20" spans="3:5" ht="15" thickBot="1" x14ac:dyDescent="0.4">
      <c r="C20" s="35" t="s">
        <v>71</v>
      </c>
      <c r="D20" s="91">
        <v>45352</v>
      </c>
      <c r="E20" s="75"/>
    </row>
    <row r="21" spans="3:5" ht="15" thickBot="1" x14ac:dyDescent="0.4">
      <c r="C21" s="39"/>
      <c r="D21" s="35" t="s">
        <v>68</v>
      </c>
      <c r="E21" s="90" t="s">
        <v>69</v>
      </c>
    </row>
    <row r="22" spans="3:5" ht="15" thickBot="1" x14ac:dyDescent="0.4">
      <c r="C22" s="94" t="s">
        <v>72</v>
      </c>
      <c r="D22" s="89">
        <v>0.38</v>
      </c>
      <c r="E22" s="85">
        <v>0.62</v>
      </c>
    </row>
    <row r="23" spans="3:5" ht="15" thickBot="1" x14ac:dyDescent="0.4">
      <c r="C23" s="35" t="s">
        <v>73</v>
      </c>
      <c r="D23" s="92">
        <v>0.56999999999999995</v>
      </c>
      <c r="E23" s="93">
        <v>0.43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417FB-0986-4970-9F2C-C56F7FDEAA06}">
  <dimension ref="B1:E36"/>
  <sheetViews>
    <sheetView topLeftCell="A21" workbookViewId="0">
      <selection activeCell="D36" sqref="D36"/>
    </sheetView>
  </sheetViews>
  <sheetFormatPr defaultRowHeight="14.5" x14ac:dyDescent="0.35"/>
  <cols>
    <col min="2" max="2" width="30.90625" customWidth="1"/>
    <col min="3" max="3" width="12.54296875" customWidth="1"/>
    <col min="4" max="4" width="17.36328125" customWidth="1"/>
    <col min="5" max="5" width="12.90625" customWidth="1"/>
    <col min="6" max="6" width="13.453125" customWidth="1"/>
  </cols>
  <sheetData>
    <row r="1" spans="2:5" ht="15" thickBot="1" x14ac:dyDescent="0.4"/>
    <row r="2" spans="2:5" ht="15" thickBot="1" x14ac:dyDescent="0.4">
      <c r="B2" s="114" t="s">
        <v>74</v>
      </c>
      <c r="C2" s="103"/>
      <c r="D2" s="103" t="s">
        <v>102</v>
      </c>
      <c r="E2" s="115" t="s">
        <v>89</v>
      </c>
    </row>
    <row r="3" spans="2:5" x14ac:dyDescent="0.35">
      <c r="B3" s="39" t="s">
        <v>75</v>
      </c>
      <c r="C3" s="95"/>
      <c r="D3" s="95" t="s">
        <v>82</v>
      </c>
      <c r="E3" s="39" t="s">
        <v>93</v>
      </c>
    </row>
    <row r="4" spans="2:5" x14ac:dyDescent="0.35">
      <c r="B4" s="39" t="s">
        <v>76</v>
      </c>
      <c r="C4" s="95"/>
      <c r="D4" s="95">
        <v>67.11</v>
      </c>
      <c r="E4" s="39">
        <v>43.11</v>
      </c>
    </row>
    <row r="5" spans="2:5" x14ac:dyDescent="0.35">
      <c r="B5" s="39" t="s">
        <v>77</v>
      </c>
      <c r="C5" s="95"/>
      <c r="D5" s="95">
        <v>40.6</v>
      </c>
      <c r="E5" s="39">
        <v>30.39</v>
      </c>
    </row>
    <row r="6" spans="2:5" x14ac:dyDescent="0.35">
      <c r="B6" s="39" t="s">
        <v>90</v>
      </c>
      <c r="C6" s="95"/>
      <c r="D6" s="95" t="s">
        <v>110</v>
      </c>
      <c r="E6" s="39" t="s">
        <v>111</v>
      </c>
    </row>
    <row r="7" spans="2:5" x14ac:dyDescent="0.35">
      <c r="B7" s="39" t="s">
        <v>83</v>
      </c>
      <c r="C7" s="95"/>
      <c r="D7" s="95">
        <v>20.61</v>
      </c>
      <c r="E7" s="39">
        <v>13.05</v>
      </c>
    </row>
    <row r="8" spans="2:5" x14ac:dyDescent="0.35">
      <c r="B8" s="39" t="s">
        <v>80</v>
      </c>
      <c r="C8" s="95"/>
      <c r="D8" s="96">
        <v>0.29199999999999998</v>
      </c>
      <c r="E8" s="116">
        <v>0.25259999999999999</v>
      </c>
    </row>
    <row r="9" spans="2:5" x14ac:dyDescent="0.35">
      <c r="B9" s="39" t="s">
        <v>79</v>
      </c>
      <c r="C9" s="95"/>
      <c r="D9" s="97">
        <v>0.30719999999999997</v>
      </c>
      <c r="E9" s="117">
        <v>0.32400000000000001</v>
      </c>
    </row>
    <row r="10" spans="2:5" x14ac:dyDescent="0.35">
      <c r="B10" s="39" t="s">
        <v>84</v>
      </c>
      <c r="C10" s="95"/>
      <c r="D10" s="95" t="s">
        <v>112</v>
      </c>
      <c r="E10" s="39" t="s">
        <v>113</v>
      </c>
    </row>
    <row r="11" spans="2:5" x14ac:dyDescent="0.35">
      <c r="B11" s="39" t="s">
        <v>109</v>
      </c>
      <c r="C11" s="95"/>
      <c r="D11" s="97">
        <v>0.46060000000000001</v>
      </c>
      <c r="E11" s="116">
        <v>0.46260000000000001</v>
      </c>
    </row>
    <row r="12" spans="2:5" x14ac:dyDescent="0.35">
      <c r="B12" s="39" t="s">
        <v>81</v>
      </c>
      <c r="C12" s="95"/>
      <c r="D12" s="95">
        <v>40.98</v>
      </c>
      <c r="E12" s="39">
        <v>32.409999999999997</v>
      </c>
    </row>
    <row r="13" spans="2:5" x14ac:dyDescent="0.35">
      <c r="B13" s="39" t="s">
        <v>78</v>
      </c>
      <c r="C13" s="95"/>
      <c r="D13" s="95" t="s">
        <v>85</v>
      </c>
      <c r="E13" s="39" t="s">
        <v>95</v>
      </c>
    </row>
    <row r="14" spans="2:5" x14ac:dyDescent="0.35">
      <c r="B14" s="39" t="s">
        <v>88</v>
      </c>
      <c r="C14" s="95"/>
      <c r="D14" s="97">
        <v>1.5E-3</v>
      </c>
      <c r="E14" s="116">
        <v>1.8200000000000001E-2</v>
      </c>
    </row>
    <row r="15" spans="2:5" x14ac:dyDescent="0.35">
      <c r="B15" s="39" t="s">
        <v>86</v>
      </c>
      <c r="C15" s="95"/>
      <c r="D15" s="97">
        <v>0.38540000000000002</v>
      </c>
      <c r="E15" s="117">
        <v>0.433</v>
      </c>
    </row>
    <row r="16" spans="2:5" x14ac:dyDescent="0.35">
      <c r="B16" s="39" t="s">
        <v>87</v>
      </c>
      <c r="C16" s="95"/>
      <c r="D16" s="97">
        <v>0.63329999999999997</v>
      </c>
      <c r="E16" s="117">
        <v>0.61599999999999999</v>
      </c>
    </row>
    <row r="17" spans="2:5" x14ac:dyDescent="0.35">
      <c r="B17" s="39" t="s">
        <v>96</v>
      </c>
      <c r="C17" s="95"/>
      <c r="D17" s="98">
        <v>0.82</v>
      </c>
      <c r="E17" s="116">
        <v>0.78129999999999999</v>
      </c>
    </row>
    <row r="18" spans="2:5" x14ac:dyDescent="0.35">
      <c r="B18" s="39" t="s">
        <v>91</v>
      </c>
      <c r="C18" s="95"/>
      <c r="D18" s="95">
        <v>45.73</v>
      </c>
      <c r="E18" s="39">
        <v>93.83</v>
      </c>
    </row>
    <row r="19" spans="2:5" x14ac:dyDescent="0.35">
      <c r="B19" s="39" t="s">
        <v>92</v>
      </c>
      <c r="C19" s="95"/>
      <c r="D19" s="98">
        <v>0.02</v>
      </c>
      <c r="E19" s="88">
        <v>0.61</v>
      </c>
    </row>
    <row r="20" spans="2:5" x14ac:dyDescent="0.35">
      <c r="B20" s="39" t="s">
        <v>108</v>
      </c>
      <c r="C20" s="95"/>
      <c r="D20" s="97">
        <v>0.81679999999999997</v>
      </c>
      <c r="E20" s="88">
        <v>0.81130000000000002</v>
      </c>
    </row>
    <row r="21" spans="2:5" x14ac:dyDescent="0.35">
      <c r="B21" s="39" t="s">
        <v>97</v>
      </c>
      <c r="C21" s="95"/>
      <c r="D21" s="98">
        <v>0.63</v>
      </c>
      <c r="E21" s="116">
        <v>0.60589999999999999</v>
      </c>
    </row>
    <row r="22" spans="2:5" x14ac:dyDescent="0.35">
      <c r="B22" s="39" t="s">
        <v>98</v>
      </c>
      <c r="C22" s="95"/>
      <c r="D22" s="97">
        <v>0.78369999999999995</v>
      </c>
      <c r="E22" s="117">
        <v>0.82599999999999996</v>
      </c>
    </row>
    <row r="23" spans="2:5" x14ac:dyDescent="0.35">
      <c r="B23" s="39" t="s">
        <v>101</v>
      </c>
      <c r="C23" s="95"/>
      <c r="D23" s="98">
        <v>0.46</v>
      </c>
      <c r="E23" s="88">
        <v>0.4</v>
      </c>
    </row>
    <row r="24" spans="2:5" x14ac:dyDescent="0.35">
      <c r="B24" s="39" t="s">
        <v>99</v>
      </c>
      <c r="C24" s="95"/>
      <c r="D24" s="95">
        <v>405.39</v>
      </c>
      <c r="E24" s="39">
        <v>30.99</v>
      </c>
    </row>
    <row r="25" spans="2:5" ht="15" thickBot="1" x14ac:dyDescent="0.4">
      <c r="B25" s="40" t="s">
        <v>100</v>
      </c>
      <c r="C25" s="113"/>
      <c r="D25" s="101">
        <v>13.26</v>
      </c>
      <c r="E25" s="40">
        <v>29.71</v>
      </c>
    </row>
    <row r="26" spans="2:5" ht="15" thickBot="1" x14ac:dyDescent="0.4">
      <c r="D26" s="95"/>
    </row>
    <row r="27" spans="2:5" ht="15" thickBot="1" x14ac:dyDescent="0.4">
      <c r="B27" s="54" t="s">
        <v>103</v>
      </c>
      <c r="C27" s="104" t="s">
        <v>94</v>
      </c>
      <c r="D27" s="105" t="s">
        <v>107</v>
      </c>
    </row>
    <row r="28" spans="2:5" x14ac:dyDescent="0.35">
      <c r="B28" s="111" t="s">
        <v>104</v>
      </c>
      <c r="C28" s="106">
        <v>0.3</v>
      </c>
      <c r="D28" s="107">
        <v>0.42</v>
      </c>
    </row>
    <row r="29" spans="2:5" x14ac:dyDescent="0.35">
      <c r="B29" s="111" t="s">
        <v>98</v>
      </c>
      <c r="C29" s="106">
        <v>0.72</v>
      </c>
      <c r="D29" s="108">
        <v>0.78369999999999995</v>
      </c>
      <c r="E29" s="96"/>
    </row>
    <row r="30" spans="2:5" x14ac:dyDescent="0.35">
      <c r="B30" s="111" t="s">
        <v>106</v>
      </c>
      <c r="C30" s="106">
        <v>0.5</v>
      </c>
      <c r="D30" s="107">
        <v>0.5</v>
      </c>
      <c r="E30" s="96"/>
    </row>
    <row r="31" spans="2:5" x14ac:dyDescent="0.35">
      <c r="B31" s="111" t="s">
        <v>97</v>
      </c>
      <c r="C31" s="106">
        <v>0.56000000000000005</v>
      </c>
      <c r="D31" s="107">
        <v>0.63</v>
      </c>
      <c r="E31" s="97"/>
    </row>
    <row r="32" spans="2:5" ht="15" thickBot="1" x14ac:dyDescent="0.4">
      <c r="B32" s="112" t="s">
        <v>105</v>
      </c>
      <c r="C32" s="109">
        <v>0.3</v>
      </c>
      <c r="D32" s="110">
        <v>0.63</v>
      </c>
    </row>
    <row r="33" customFormat="1" x14ac:dyDescent="0.35"/>
    <row r="34" customFormat="1" x14ac:dyDescent="0.35"/>
    <row r="35" customFormat="1" x14ac:dyDescent="0.35"/>
    <row r="36" customFormat="1" x14ac:dyDescent="0.35"/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26EC5-5A2C-4636-BD8F-1AAE30DF9123}">
  <dimension ref="B1:J13"/>
  <sheetViews>
    <sheetView topLeftCell="A11" zoomScale="96" zoomScaleNormal="96" workbookViewId="0">
      <selection activeCell="J54" sqref="J54"/>
    </sheetView>
  </sheetViews>
  <sheetFormatPr defaultRowHeight="14.5" x14ac:dyDescent="0.35"/>
  <cols>
    <col min="2" max="2" width="27.6328125" customWidth="1"/>
    <col min="4" max="4" width="21.08984375" customWidth="1"/>
    <col min="5" max="5" width="15" customWidth="1"/>
    <col min="7" max="7" width="22" customWidth="1"/>
    <col min="8" max="8" width="10.26953125" customWidth="1"/>
    <col min="9" max="9" width="20" customWidth="1"/>
    <col min="10" max="10" width="20.81640625" customWidth="1"/>
  </cols>
  <sheetData>
    <row r="1" spans="2:10" ht="15" thickBot="1" x14ac:dyDescent="0.4"/>
    <row r="2" spans="2:10" ht="15" thickBot="1" x14ac:dyDescent="0.4">
      <c r="B2" s="114" t="s">
        <v>74</v>
      </c>
      <c r="C2" s="103"/>
      <c r="D2" s="103" t="s">
        <v>102</v>
      </c>
      <c r="E2" s="115" t="s">
        <v>89</v>
      </c>
      <c r="G2" s="114" t="s">
        <v>74</v>
      </c>
      <c r="H2" s="103"/>
      <c r="I2" s="103" t="s">
        <v>102</v>
      </c>
      <c r="J2" s="115" t="s">
        <v>89</v>
      </c>
    </row>
    <row r="3" spans="2:10" x14ac:dyDescent="0.35">
      <c r="B3" s="39" t="s">
        <v>75</v>
      </c>
      <c r="C3" s="95"/>
      <c r="D3" s="95" t="s">
        <v>82</v>
      </c>
      <c r="E3" s="39" t="s">
        <v>93</v>
      </c>
      <c r="G3" s="39" t="s">
        <v>115</v>
      </c>
      <c r="H3" s="95"/>
      <c r="I3" s="96">
        <v>0.29199999999999998</v>
      </c>
      <c r="J3" s="116">
        <v>0.25259999999999999</v>
      </c>
    </row>
    <row r="4" spans="2:10" x14ac:dyDescent="0.35">
      <c r="B4" s="39" t="s">
        <v>76</v>
      </c>
      <c r="C4" s="95"/>
      <c r="D4" s="95">
        <v>67.11</v>
      </c>
      <c r="E4" s="39">
        <v>43.11</v>
      </c>
      <c r="G4" s="39" t="s">
        <v>116</v>
      </c>
      <c r="H4" s="95"/>
      <c r="I4" s="97">
        <v>0.30719999999999997</v>
      </c>
      <c r="J4" s="117">
        <v>0.32400000000000001</v>
      </c>
    </row>
    <row r="5" spans="2:10" x14ac:dyDescent="0.35">
      <c r="B5" s="39" t="s">
        <v>77</v>
      </c>
      <c r="C5" s="95"/>
      <c r="D5" s="95">
        <v>40.6</v>
      </c>
      <c r="E5" s="39">
        <v>30.39</v>
      </c>
      <c r="G5" s="39" t="s">
        <v>121</v>
      </c>
      <c r="H5" s="95"/>
      <c r="I5" s="97">
        <v>2.35E-2</v>
      </c>
      <c r="J5" s="117">
        <v>3.6499999999999998E-2</v>
      </c>
    </row>
    <row r="6" spans="2:10" x14ac:dyDescent="0.35">
      <c r="B6" s="39" t="s">
        <v>90</v>
      </c>
      <c r="C6" s="95"/>
      <c r="D6" s="95">
        <v>133.27000000000001</v>
      </c>
      <c r="E6" s="39">
        <v>317.63</v>
      </c>
      <c r="G6" s="39" t="s">
        <v>117</v>
      </c>
      <c r="H6" s="95"/>
      <c r="I6" s="97">
        <v>0.46060000000000001</v>
      </c>
      <c r="J6" s="116">
        <v>0.46260000000000001</v>
      </c>
    </row>
    <row r="7" spans="2:10" x14ac:dyDescent="0.35">
      <c r="B7" s="39" t="s">
        <v>83</v>
      </c>
      <c r="C7" s="95"/>
      <c r="D7" s="95">
        <v>20.61</v>
      </c>
      <c r="E7" s="39">
        <v>13.05</v>
      </c>
      <c r="G7" s="39" t="s">
        <v>88</v>
      </c>
      <c r="H7" s="95"/>
      <c r="I7" s="97">
        <v>1.5E-3</v>
      </c>
      <c r="J7" s="116">
        <v>1.8200000000000001E-2</v>
      </c>
    </row>
    <row r="8" spans="2:10" x14ac:dyDescent="0.35">
      <c r="B8" s="39" t="s">
        <v>81</v>
      </c>
      <c r="C8" s="95"/>
      <c r="D8" s="95">
        <v>40.98</v>
      </c>
      <c r="E8" s="39">
        <v>32.409999999999997</v>
      </c>
      <c r="G8" s="39" t="s">
        <v>118</v>
      </c>
      <c r="H8" s="95"/>
      <c r="I8" s="97">
        <v>0.38540000000000002</v>
      </c>
      <c r="J8" s="117">
        <v>0.433</v>
      </c>
    </row>
    <row r="9" spans="2:10" x14ac:dyDescent="0.35">
      <c r="B9" s="39" t="s">
        <v>114</v>
      </c>
      <c r="C9" s="95"/>
      <c r="D9" s="95">
        <v>4</v>
      </c>
      <c r="E9" s="39">
        <v>90</v>
      </c>
      <c r="G9" s="39" t="s">
        <v>96</v>
      </c>
      <c r="H9" s="95"/>
      <c r="I9" s="98">
        <v>0.82</v>
      </c>
      <c r="J9" s="116">
        <v>0.78129999999999999</v>
      </c>
    </row>
    <row r="10" spans="2:10" x14ac:dyDescent="0.35">
      <c r="B10" s="39" t="s">
        <v>91</v>
      </c>
      <c r="C10" s="95"/>
      <c r="D10" s="95">
        <v>45.73</v>
      </c>
      <c r="E10" s="39">
        <v>93.83</v>
      </c>
      <c r="G10" s="39" t="s">
        <v>119</v>
      </c>
      <c r="H10" s="95"/>
      <c r="I10" s="98">
        <v>0.02</v>
      </c>
      <c r="J10" s="88">
        <v>0.61</v>
      </c>
    </row>
    <row r="11" spans="2:10" ht="15" thickBot="1" x14ac:dyDescent="0.4">
      <c r="B11" s="40" t="s">
        <v>100</v>
      </c>
      <c r="C11" s="113"/>
      <c r="D11" s="101">
        <v>13.26</v>
      </c>
      <c r="E11" s="40">
        <v>29.71</v>
      </c>
      <c r="G11" s="39" t="s">
        <v>122</v>
      </c>
      <c r="H11" s="95"/>
      <c r="I11" s="97">
        <v>0.63329999999999997</v>
      </c>
      <c r="J11" s="88">
        <v>0.73819999999999997</v>
      </c>
    </row>
    <row r="12" spans="2:10" x14ac:dyDescent="0.35">
      <c r="G12" s="39" t="s">
        <v>98</v>
      </c>
      <c r="H12" s="95"/>
      <c r="I12" s="97">
        <v>0.78369999999999995</v>
      </c>
      <c r="J12" s="117">
        <v>0.82599999999999996</v>
      </c>
    </row>
    <row r="13" spans="2:10" ht="15" thickBot="1" x14ac:dyDescent="0.4">
      <c r="G13" s="40" t="s">
        <v>120</v>
      </c>
      <c r="H13" s="101"/>
      <c r="I13" s="102">
        <v>0.46</v>
      </c>
      <c r="J13" s="89">
        <v>0.4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483E7-7A98-4A44-BEF5-AAA2516C5B56}">
  <dimension ref="B1:C35"/>
  <sheetViews>
    <sheetView workbookViewId="0">
      <selection activeCell="P41" sqref="P41"/>
    </sheetView>
  </sheetViews>
  <sheetFormatPr defaultRowHeight="14.5" x14ac:dyDescent="0.35"/>
  <cols>
    <col min="3" max="3" width="18.36328125" customWidth="1"/>
    <col min="6" max="6" width="8.7265625" customWidth="1"/>
  </cols>
  <sheetData>
    <row r="1" spans="2:3" ht="15" thickBot="1" x14ac:dyDescent="0.4"/>
    <row r="2" spans="2:3" ht="15" thickBot="1" x14ac:dyDescent="0.4">
      <c r="B2" s="118" t="s">
        <v>58</v>
      </c>
      <c r="C2" s="90" t="s">
        <v>123</v>
      </c>
    </row>
    <row r="3" spans="2:3" x14ac:dyDescent="0.35">
      <c r="B3" s="99">
        <v>2019</v>
      </c>
      <c r="C3" s="82">
        <v>22</v>
      </c>
    </row>
    <row r="4" spans="2:3" x14ac:dyDescent="0.35">
      <c r="B4" s="99">
        <v>2020</v>
      </c>
      <c r="C4" s="82">
        <v>-16</v>
      </c>
    </row>
    <row r="5" spans="2:3" x14ac:dyDescent="0.35">
      <c r="B5" s="99">
        <v>2021</v>
      </c>
      <c r="C5" s="82">
        <v>23</v>
      </c>
    </row>
    <row r="6" spans="2:3" x14ac:dyDescent="0.35">
      <c r="B6" s="99">
        <v>2022</v>
      </c>
      <c r="C6" s="82">
        <v>23</v>
      </c>
    </row>
    <row r="7" spans="2:3" x14ac:dyDescent="0.35">
      <c r="B7" s="99">
        <v>2023</v>
      </c>
      <c r="C7" s="82">
        <v>21</v>
      </c>
    </row>
    <row r="8" spans="2:3" ht="15" thickBot="1" x14ac:dyDescent="0.4">
      <c r="B8" s="100">
        <v>2024</v>
      </c>
      <c r="C8" s="83">
        <v>42</v>
      </c>
    </row>
    <row r="13" spans="2:3" ht="15" thickBot="1" x14ac:dyDescent="0.4"/>
    <row r="14" spans="2:3" ht="15" thickBot="1" x14ac:dyDescent="0.4">
      <c r="B14" s="118" t="s">
        <v>58</v>
      </c>
      <c r="C14" s="90" t="s">
        <v>124</v>
      </c>
    </row>
    <row r="15" spans="2:3" x14ac:dyDescent="0.35">
      <c r="B15" s="99">
        <v>2019</v>
      </c>
      <c r="C15" s="82">
        <v>43</v>
      </c>
    </row>
    <row r="16" spans="2:3" x14ac:dyDescent="0.35">
      <c r="B16" s="99">
        <v>2020</v>
      </c>
      <c r="C16" s="82">
        <v>63</v>
      </c>
    </row>
    <row r="17" spans="2:3" x14ac:dyDescent="0.35">
      <c r="B17" s="99">
        <v>2021</v>
      </c>
      <c r="C17" s="82">
        <v>72</v>
      </c>
    </row>
    <row r="18" spans="2:3" x14ac:dyDescent="0.35">
      <c r="B18" s="99">
        <v>2022</v>
      </c>
      <c r="C18" s="82">
        <v>73</v>
      </c>
    </row>
    <row r="19" spans="2:3" x14ac:dyDescent="0.35">
      <c r="B19" s="99">
        <v>2023</v>
      </c>
      <c r="C19" s="82">
        <v>75</v>
      </c>
    </row>
    <row r="20" spans="2:3" ht="15" thickBot="1" x14ac:dyDescent="0.4">
      <c r="B20" s="100">
        <v>2024</v>
      </c>
      <c r="C20" s="83">
        <v>79.3</v>
      </c>
    </row>
    <row r="21" spans="2:3" ht="15" thickBot="1" x14ac:dyDescent="0.4"/>
    <row r="22" spans="2:3" ht="15" thickBot="1" x14ac:dyDescent="0.4">
      <c r="B22" s="118" t="s">
        <v>58</v>
      </c>
      <c r="C22" s="90" t="s">
        <v>125</v>
      </c>
    </row>
    <row r="23" spans="2:3" x14ac:dyDescent="0.35">
      <c r="B23" s="99">
        <v>2019</v>
      </c>
      <c r="C23" s="82">
        <v>28</v>
      </c>
    </row>
    <row r="24" spans="2:3" x14ac:dyDescent="0.35">
      <c r="B24" s="99">
        <v>2020</v>
      </c>
      <c r="C24" s="82">
        <v>40</v>
      </c>
    </row>
    <row r="25" spans="2:3" x14ac:dyDescent="0.35">
      <c r="B25" s="99">
        <v>2021</v>
      </c>
      <c r="C25" s="82">
        <v>43</v>
      </c>
    </row>
    <row r="26" spans="2:3" x14ac:dyDescent="0.35">
      <c r="B26" s="99">
        <v>2022</v>
      </c>
      <c r="C26" s="82">
        <v>25</v>
      </c>
    </row>
    <row r="27" spans="2:3" x14ac:dyDescent="0.35">
      <c r="B27" s="99">
        <v>2023</v>
      </c>
      <c r="C27" s="82">
        <v>23</v>
      </c>
    </row>
    <row r="28" spans="2:3" ht="15" thickBot="1" x14ac:dyDescent="0.4">
      <c r="B28" s="100">
        <v>2024</v>
      </c>
      <c r="C28" s="83">
        <v>58.1</v>
      </c>
    </row>
    <row r="30" spans="2:3" ht="15" thickBot="1" x14ac:dyDescent="0.4"/>
    <row r="31" spans="2:3" ht="15" thickBot="1" x14ac:dyDescent="0.4">
      <c r="B31" s="118" t="s">
        <v>58</v>
      </c>
      <c r="C31" s="90" t="s">
        <v>126</v>
      </c>
    </row>
    <row r="32" spans="2:3" x14ac:dyDescent="0.35">
      <c r="B32" s="99">
        <v>2021</v>
      </c>
      <c r="C32" s="82">
        <v>862.6</v>
      </c>
    </row>
    <row r="33" spans="2:3" x14ac:dyDescent="0.35">
      <c r="B33" s="99">
        <v>2022</v>
      </c>
      <c r="C33" s="82">
        <v>1082.4000000000001</v>
      </c>
    </row>
    <row r="34" spans="2:3" x14ac:dyDescent="0.35">
      <c r="B34" s="99">
        <v>2023</v>
      </c>
      <c r="C34" s="82">
        <v>1339.7</v>
      </c>
    </row>
    <row r="35" spans="2:3" ht="15" thickBot="1" x14ac:dyDescent="0.4">
      <c r="B35" s="100">
        <v>2024</v>
      </c>
      <c r="C35" s="83">
        <v>2072.8000000000002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706F-96BB-472A-BCCC-8FEAD9494A48}">
  <sheetPr>
    <tabColor theme="0"/>
  </sheetPr>
  <dimension ref="C2:J16"/>
  <sheetViews>
    <sheetView zoomScaleNormal="100" workbookViewId="0">
      <selection activeCell="P25" sqref="P25"/>
    </sheetView>
  </sheetViews>
  <sheetFormatPr defaultRowHeight="14.5" x14ac:dyDescent="0.35"/>
  <cols>
    <col min="1" max="16384" width="8.7265625" style="2"/>
  </cols>
  <sheetData>
    <row r="2" spans="3:10" x14ac:dyDescent="0.35">
      <c r="C2" s="119" t="s">
        <v>128</v>
      </c>
      <c r="J2" s="119" t="s">
        <v>129</v>
      </c>
    </row>
    <row r="16" spans="3:10" x14ac:dyDescent="0.35">
      <c r="F16" s="119" t="s">
        <v>127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Mutual Fund Market </vt:lpstr>
      <vt:lpstr>SIP Trends</vt:lpstr>
      <vt:lpstr>MF AUM History</vt:lpstr>
      <vt:lpstr>Wealth Market</vt:lpstr>
      <vt:lpstr>PMS Market</vt:lpstr>
      <vt:lpstr>PMS AUM History</vt:lpstr>
      <vt:lpstr>Demat acc</vt:lpstr>
      <vt:lpstr>Wealth Mgmt Demand</vt:lpstr>
      <vt:lpstr>T30 vs B30</vt:lpstr>
      <vt:lpstr>SBI AMC VS Industry</vt:lpstr>
      <vt:lpstr>SBI AMC VS HDFC AMC</vt:lpstr>
      <vt:lpstr>Financials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MANOJ KUMAR RATH</cp:lastModifiedBy>
  <dcterms:created xsi:type="dcterms:W3CDTF">2025-05-27T04:44:45Z</dcterms:created>
  <dcterms:modified xsi:type="dcterms:W3CDTF">2026-01-05T12:34:11Z</dcterms:modified>
</cp:coreProperties>
</file>