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:\C Drive\Document File\SBI Summer Internship\"/>
    </mc:Choice>
  </mc:AlternateContent>
  <xr:revisionPtr revIDLastSave="0" documentId="13_ncr:1_{75B583A3-9F9E-4068-ACBD-1FEB9AA0514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orm responses 1" sheetId="1" r:id="rId1"/>
    <sheet name="Summary Analysis" sheetId="2" r:id="rId2"/>
  </sheets>
  <calcPr calcId="181029"/>
</workbook>
</file>

<file path=xl/calcChain.xml><?xml version="1.0" encoding="utf-8"?>
<calcChain xmlns="http://schemas.openxmlformats.org/spreadsheetml/2006/main">
  <c r="C12" i="2" l="1"/>
  <c r="C11" i="2"/>
  <c r="C10" i="2"/>
  <c r="C9" i="2"/>
  <c r="C8" i="2"/>
  <c r="C6" i="2"/>
  <c r="C9" i="1"/>
  <c r="C7" i="1"/>
  <c r="C6" i="1"/>
  <c r="C5" i="1"/>
  <c r="C4" i="1"/>
  <c r="C3" i="1"/>
  <c r="C7" i="2"/>
  <c r="C13" i="2"/>
  <c r="C5" i="2"/>
  <c r="C3" i="2"/>
  <c r="C4" i="2" l="1"/>
</calcChain>
</file>

<file path=xl/sharedStrings.xml><?xml version="1.0" encoding="utf-8"?>
<sst xmlns="http://schemas.openxmlformats.org/spreadsheetml/2006/main" count="88" uniqueCount="34">
  <si>
    <t>Bank/ NBFC/ Fintech Name:</t>
  </si>
  <si>
    <t xml:space="preserve">ICICI </t>
  </si>
  <si>
    <t>Yes</t>
  </si>
  <si>
    <t>AXIS</t>
  </si>
  <si>
    <t>No</t>
  </si>
  <si>
    <t xml:space="preserve">Motilal Oswal </t>
  </si>
  <si>
    <t>HDFC</t>
  </si>
  <si>
    <t>Nippon India</t>
  </si>
  <si>
    <t>360 ONE WAM</t>
  </si>
  <si>
    <t>Mirae Asset</t>
  </si>
  <si>
    <t>Wealth Survey Analysis</t>
  </si>
  <si>
    <t>Total Responses</t>
  </si>
  <si>
    <t>Results</t>
  </si>
  <si>
    <t>Average Digital Experience &amp; Satisfaction Score</t>
  </si>
  <si>
    <t>Are Home Branches/ Retail Employees well versed with wealth products (Yes%)</t>
  </si>
  <si>
    <t>Provision of Personalised Services (Yes%)</t>
  </si>
  <si>
    <t>Usage of Digital Tools in serving wealth clients (Yes%)</t>
  </si>
  <si>
    <t>SBI Wealth using DLT (Distributed Ledger Technology) (Yes%)</t>
  </si>
  <si>
    <t>SBI Wealth using Smart Contracts (Yes%)</t>
  </si>
  <si>
    <t>SBI Wealth using E-Aggregators (Yes%)</t>
  </si>
  <si>
    <t>SBI Wealth using AI-Based Prompts</t>
  </si>
  <si>
    <t>Value beyond Investments Provision</t>
  </si>
  <si>
    <t>Wealth Management Services Differentiation</t>
  </si>
  <si>
    <t>Wealth management services differentiation factor from other Banks, NBFCs, Fintech?</t>
  </si>
  <si>
    <t xml:space="preserve">How would you rate the digital interface and user experience of your current wealth management platform? </t>
  </si>
  <si>
    <t>Are the Home Branches/ Retail Banking employees well-versed with the Wealth Business Products, Services and Functionalities?</t>
  </si>
  <si>
    <t>Do you provide value beyond investments like helping with estate planning, tax strategies, insurance reviews etc.</t>
  </si>
  <si>
    <t>Do you deliver Exceptional Personalised service like customizing financial Plans to not just risk profiles but most important, to life goals?</t>
  </si>
  <si>
    <t>Do you use digital tools (Robo-advisors, analytics, Personalized Dashboards, Financial Goal Trackers, Community Forums, etc.) in client servicing?</t>
  </si>
  <si>
    <t>Does your wealth service use DLT (Distributed Ledgers Technology) based shared KYC Platform &amp; Client Onboarding Process across its group (Mutual Fund, Life Insurance etc)?</t>
  </si>
  <si>
    <t>On average, how many wealth clients do you manage per month?</t>
  </si>
  <si>
    <t>Does your wealth service use smart contracts for private wealth account automation?</t>
  </si>
  <si>
    <t xml:space="preserve">Does your wealth service use E-Aggregators to integrate data from Life, General Insurance, Mutual Fund, and even third-party investments into a single consolidated dashboard for 360-degree Financial View? </t>
  </si>
  <si>
    <t>Does your wealth service use AI-Based Prompt for RM’s suggesting Products offerings based on Client investment behaviour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</si>
</sst>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thin">
        <color rgb="FFF8F9FA"/>
      </top>
      <bottom style="thin">
        <color rgb="FFF8F9FA"/>
      </bottom>
      <diagonal/>
    </border>
    <border>
      <left style="medium">
        <color indexed="64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FFFFFF"/>
      </bottom>
      <diagonal/>
    </border>
    <border>
      <left/>
      <right style="medium">
        <color indexed="64"/>
      </right>
      <top style="thin">
        <color rgb="FFF8F9FA"/>
      </top>
      <bottom style="thin">
        <color rgb="FFF8F9FA"/>
      </bottom>
      <diagonal/>
    </border>
    <border>
      <left/>
      <right style="medium">
        <color indexed="64"/>
      </right>
      <top style="thin">
        <color rgb="FFFFFFFF"/>
      </top>
      <bottom style="thin">
        <color rgb="FFFFFFFF"/>
      </bottom>
      <diagonal/>
    </border>
    <border>
      <left/>
      <right style="medium">
        <color indexed="64"/>
      </right>
      <top style="thin">
        <color rgb="FFFFFFFF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border>
        <bottom style="medium">
          <color indexed="64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2"/>
                </a:solidFill>
              </a:rPr>
              <a:t>Avg</a:t>
            </a:r>
            <a:r>
              <a:rPr lang="en-IN" baseline="0">
                <a:solidFill>
                  <a:schemeClr val="bg2"/>
                </a:solidFill>
              </a:rPr>
              <a:t> Score Per Question</a:t>
            </a:r>
            <a:endParaRPr lang="en-IN">
              <a:solidFill>
                <a:schemeClr val="bg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Analysis'!$B$4:$B$13</c:f>
              <c:strCache>
                <c:ptCount val="10"/>
                <c:pt idx="0">
                  <c:v>Wealth Management Services Differentiation</c:v>
                </c:pt>
                <c:pt idx="1">
                  <c:v>Average Digital Experience &amp; Satisfaction Score</c:v>
                </c:pt>
                <c:pt idx="2">
                  <c:v>Are Home Branches/ Retail Employees well versed with wealth products (Yes%)</c:v>
                </c:pt>
                <c:pt idx="3">
                  <c:v>Value beyond Investments Provision</c:v>
                </c:pt>
                <c:pt idx="4">
                  <c:v>Provision of Personalised Services (Yes%)</c:v>
                </c:pt>
                <c:pt idx="5">
                  <c:v>Usage of Digital Tools in serving wealth clients (Yes%)</c:v>
                </c:pt>
                <c:pt idx="6">
                  <c:v>SBI Wealth using DLT (Distributed Ledger Technology) (Yes%)</c:v>
                </c:pt>
                <c:pt idx="7">
                  <c:v>SBI Wealth using Smart Contracts (Yes%)</c:v>
                </c:pt>
                <c:pt idx="8">
                  <c:v>SBI Wealth using E-Aggregators (Yes%)</c:v>
                </c:pt>
                <c:pt idx="9">
                  <c:v>SBI Wealth using AI-Based Prompts</c:v>
                </c:pt>
              </c:strCache>
            </c:strRef>
          </c:cat>
          <c:val>
            <c:numRef>
              <c:f>'Summary Analysis'!$C$4:$C$13</c:f>
              <c:numCache>
                <c:formatCode>0.0</c:formatCode>
                <c:ptCount val="10"/>
                <c:pt idx="0">
                  <c:v>3.7755102040816326</c:v>
                </c:pt>
                <c:pt idx="1">
                  <c:v>4.5714285714285712</c:v>
                </c:pt>
                <c:pt idx="2">
                  <c:v>2.1428571428571428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2.1428571428571428</c:v>
                </c:pt>
                <c:pt idx="7">
                  <c:v>2.8571428571428568</c:v>
                </c:pt>
                <c:pt idx="8">
                  <c:v>5</c:v>
                </c:pt>
                <c:pt idx="9">
                  <c:v>3.5714285714285716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C-4A66-B1EC-FF7D8ABBAE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8658896"/>
        <c:axId val="1058668976"/>
      </c:lineChart>
      <c:catAx>
        <c:axId val="1058658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68976"/>
        <c:crosses val="autoZero"/>
        <c:auto val="1"/>
        <c:lblAlgn val="ctr"/>
        <c:lblOffset val="100"/>
        <c:noMultiLvlLbl val="0"/>
      </c:catAx>
      <c:valAx>
        <c:axId val="105866897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5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>
                    <a:lumMod val="20000"/>
                    <a:lumOff val="80000"/>
                  </a:schemeClr>
                </a:solidFill>
              </a:rPr>
              <a:t>Average Score Per Question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'Summary Analysis'!$B$4:$B$13</c:f>
              <c:strCache>
                <c:ptCount val="10"/>
                <c:pt idx="0">
                  <c:v>Wealth Management Services Differentiation</c:v>
                </c:pt>
                <c:pt idx="1">
                  <c:v>Average Digital Experience &amp; Satisfaction Score</c:v>
                </c:pt>
                <c:pt idx="2">
                  <c:v>Are Home Branches/ Retail Employees well versed with wealth products (Yes%)</c:v>
                </c:pt>
                <c:pt idx="3">
                  <c:v>Value beyond Investments Provision</c:v>
                </c:pt>
                <c:pt idx="4">
                  <c:v>Provision of Personalised Services (Yes%)</c:v>
                </c:pt>
                <c:pt idx="5">
                  <c:v>Usage of Digital Tools in serving wealth clients (Yes%)</c:v>
                </c:pt>
                <c:pt idx="6">
                  <c:v>SBI Wealth using DLT (Distributed Ledger Technology) (Yes%)</c:v>
                </c:pt>
                <c:pt idx="7">
                  <c:v>SBI Wealth using Smart Contracts (Yes%)</c:v>
                </c:pt>
                <c:pt idx="8">
                  <c:v>SBI Wealth using E-Aggregators (Yes%)</c:v>
                </c:pt>
                <c:pt idx="9">
                  <c:v>SBI Wealth using AI-Based Prompts</c:v>
                </c:pt>
              </c:strCache>
            </c:strRef>
          </c:cat>
          <c:val>
            <c:numRef>
              <c:f>'Summary Analysis'!$C$4:$C$13</c:f>
              <c:numCache>
                <c:formatCode>0.0</c:formatCode>
                <c:ptCount val="10"/>
                <c:pt idx="0">
                  <c:v>3.7755102040816326</c:v>
                </c:pt>
                <c:pt idx="1">
                  <c:v>4.5714285714285712</c:v>
                </c:pt>
                <c:pt idx="2">
                  <c:v>2.1428571428571428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2.1428571428571428</c:v>
                </c:pt>
                <c:pt idx="7">
                  <c:v>2.8571428571428568</c:v>
                </c:pt>
                <c:pt idx="8">
                  <c:v>5</c:v>
                </c:pt>
                <c:pt idx="9">
                  <c:v>3.5714285714285716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6-4B2E-8A02-48F729AD9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338576"/>
        <c:axId val="1643310256"/>
      </c:radarChart>
      <c:catAx>
        <c:axId val="164333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10256"/>
        <c:crosses val="autoZero"/>
        <c:auto val="1"/>
        <c:lblAlgn val="ctr"/>
        <c:lblOffset val="100"/>
        <c:noMultiLvlLbl val="0"/>
      </c:catAx>
      <c:valAx>
        <c:axId val="164331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3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1704974</xdr:colOff>
      <xdr:row>18</xdr:row>
      <xdr:rowOff>95250</xdr:rowOff>
    </xdr:from>
    <xdr:to>
      <xdr:col>6</xdr:col>
      <xdr:colOff>260349</xdr:colOff>
      <xdr:row>36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27D358-47FB-FF88-76C6-F5BA7ABA6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294698</xdr:colOff>
      <xdr:row>18</xdr:row>
      <xdr:rowOff>101887</xdr:rowOff>
    </xdr:from>
    <xdr:to>
      <xdr:col>13</xdr:col>
      <xdr:colOff>596034</xdr:colOff>
      <xdr:row>35</xdr:row>
      <xdr:rowOff>145760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F2519B-4B73-19DB-2B80-E7B89B874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2:M10" headerRowDxfId="12" headerRowBorderDxfId="0">
  <tableColumns count="12">
    <tableColumn id="2" xr3:uid="{00000000-0010-0000-0000-000002000000}" name="Bank/ NBFC/ Fintech Name:"/>
    <tableColumn id="3" xr3:uid="{00000000-0010-0000-0000-000003000000}" name="Wealth management services differentiation factor from other Banks, NBFCs, Fintech?" dataDxfId="11"/>
    <tableColumn id="5" xr3:uid="{00000000-0010-0000-0000-000005000000}" name="How would you rate the digital interface and user experience of your current wealth management platform? " dataDxfId="10"/>
    <tableColumn id="6" xr3:uid="{00000000-0010-0000-0000-000006000000}" name="Are the Home Branches/ Retail Banking employees well-versed with the Wealth Business Products, Services and Functionalities?" dataDxfId="9"/>
    <tableColumn id="7" xr3:uid="{00000000-0010-0000-0000-000007000000}" name="Do you provide value beyond investments like helping with estate planning, tax strategies, insurance reviews etc." dataDxfId="8"/>
    <tableColumn id="8" xr3:uid="{00000000-0010-0000-0000-000008000000}" name="Do you deliver Exceptional Personalised service like customizing financial Plans to not just risk profiles but most important, to life goals?" dataDxfId="7"/>
    <tableColumn id="9" xr3:uid="{00000000-0010-0000-0000-000009000000}" name="Do you use digital tools (Robo-advisors, analytics, Personalized Dashboards, Financial Goal Trackers, Community Forums, etc.) in client servicing?" dataDxfId="6"/>
    <tableColumn id="10" xr3:uid="{00000000-0010-0000-0000-00000A000000}" name="Does your wealth service use DLT (Distributed Ledgers Technology) based shared KYC Platform &amp; Client Onboarding Process across its group (Mutual Fund, Life Insurance etc)?" dataDxfId="5"/>
    <tableColumn id="11" xr3:uid="{00000000-0010-0000-0000-00000B000000}" name="On average, how many wealth clients do you manage per month?" dataDxfId="4"/>
    <tableColumn id="12" xr3:uid="{00000000-0010-0000-0000-00000C000000}" name="Does your wealth service use smart contracts for private wealth account automation?" dataDxfId="3"/>
    <tableColumn id="13" xr3:uid="{00000000-0010-0000-0000-00000D000000}" name="Does your wealth service use E-Aggregators to integrate data from Life, General Insurance, Mutual Fund, and even third-party investments into a single consolidated dashboard for 360-degree Financial View? " dataDxfId="2"/>
    <tableColumn id="14" xr3:uid="{00000000-0010-0000-0000-00000E000000}" name="Does your wealth service use AI-Based Prompt for RM’s suggesting Products offerings based on Client investment behaviour ?" dataDxfId="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M21"/>
  <sheetViews>
    <sheetView zoomScale="88" zoomScaleNormal="88" workbookViewId="0">
      <pane ySplit="2" topLeftCell="A3" activePane="bottomLeft" state="frozen"/>
      <selection pane="bottomLeft" activeCell="G14" sqref="G14"/>
    </sheetView>
  </sheetViews>
  <sheetFormatPr defaultColWidth="12.6328125" defaultRowHeight="15.75" customHeight="1" x14ac:dyDescent="0.25"/>
  <cols>
    <col min="2" max="2" width="13.1796875" customWidth="1"/>
    <col min="3" max="4" width="10.54296875" customWidth="1"/>
    <col min="5" max="5" width="12.36328125" customWidth="1"/>
    <col min="6" max="6" width="10.6328125" customWidth="1"/>
    <col min="7" max="7" width="12.36328125" customWidth="1"/>
    <col min="8" max="8" width="14.81640625" customWidth="1"/>
    <col min="9" max="9" width="15.36328125" customWidth="1"/>
    <col min="10" max="10" width="7.6328125" customWidth="1"/>
    <col min="11" max="11" width="10.26953125" customWidth="1"/>
    <col min="12" max="12" width="19.6328125" customWidth="1"/>
    <col min="13" max="13" width="12.6328125" customWidth="1"/>
    <col min="14" max="19" width="18.90625" customWidth="1"/>
  </cols>
  <sheetData>
    <row r="1" spans="2:13" ht="15.75" customHeight="1" thickBot="1" x14ac:dyDescent="0.3"/>
    <row r="2" spans="2:13" s="1" customFormat="1" ht="122" customHeight="1" thickBot="1" x14ac:dyDescent="0.3">
      <c r="B2" s="31" t="s">
        <v>0</v>
      </c>
      <c r="C2" s="12" t="s">
        <v>23</v>
      </c>
      <c r="D2" s="21" t="s">
        <v>24</v>
      </c>
      <c r="E2" s="21" t="s">
        <v>25</v>
      </c>
      <c r="F2" s="21" t="s">
        <v>26</v>
      </c>
      <c r="G2" s="21" t="s">
        <v>27</v>
      </c>
      <c r="H2" s="21" t="s">
        <v>28</v>
      </c>
      <c r="I2" s="21" t="s">
        <v>29</v>
      </c>
      <c r="J2" s="21" t="s">
        <v>30</v>
      </c>
      <c r="K2" s="21" t="s">
        <v>31</v>
      </c>
      <c r="L2" s="21" t="s">
        <v>32</v>
      </c>
      <c r="M2" s="26" t="s">
        <v>33</v>
      </c>
    </row>
    <row r="3" spans="2:13" ht="15.75" customHeight="1" x14ac:dyDescent="0.25">
      <c r="B3" s="13" t="s">
        <v>1</v>
      </c>
      <c r="C3" s="17">
        <f>(5/7)*5</f>
        <v>3.5714285714285716</v>
      </c>
      <c r="D3" s="22">
        <v>5</v>
      </c>
      <c r="E3" s="22" t="s">
        <v>2</v>
      </c>
      <c r="F3" s="22" t="s">
        <v>2</v>
      </c>
      <c r="G3" s="22" t="s">
        <v>2</v>
      </c>
      <c r="H3" s="22" t="s">
        <v>2</v>
      </c>
      <c r="I3" s="22" t="s">
        <v>2</v>
      </c>
      <c r="J3" s="22">
        <v>57</v>
      </c>
      <c r="K3" s="22" t="s">
        <v>2</v>
      </c>
      <c r="L3" s="22" t="s">
        <v>2</v>
      </c>
      <c r="M3" s="27" t="s">
        <v>2</v>
      </c>
    </row>
    <row r="4" spans="2:13" ht="15.75" customHeight="1" x14ac:dyDescent="0.25">
      <c r="B4" s="14" t="s">
        <v>3</v>
      </c>
      <c r="C4" s="18">
        <f>(4/7)*5</f>
        <v>2.8571428571428568</v>
      </c>
      <c r="D4" s="23">
        <v>5</v>
      </c>
      <c r="E4" s="23" t="s">
        <v>2</v>
      </c>
      <c r="F4" s="23" t="s">
        <v>2</v>
      </c>
      <c r="G4" s="23" t="s">
        <v>2</v>
      </c>
      <c r="H4" s="23" t="s">
        <v>2</v>
      </c>
      <c r="I4" s="23" t="s">
        <v>2</v>
      </c>
      <c r="J4" s="23">
        <v>40</v>
      </c>
      <c r="K4" s="23" t="s">
        <v>2</v>
      </c>
      <c r="L4" s="23" t="s">
        <v>2</v>
      </c>
      <c r="M4" s="28" t="s">
        <v>4</v>
      </c>
    </row>
    <row r="5" spans="2:13" ht="15.75" customHeight="1" x14ac:dyDescent="0.25">
      <c r="B5" s="15" t="s">
        <v>5</v>
      </c>
      <c r="C5" s="19">
        <f>(5/7)*5</f>
        <v>3.5714285714285716</v>
      </c>
      <c r="D5" s="24">
        <v>4</v>
      </c>
      <c r="E5" s="24" t="s">
        <v>4</v>
      </c>
      <c r="F5" s="24" t="s">
        <v>2</v>
      </c>
      <c r="G5" s="24" t="s">
        <v>2</v>
      </c>
      <c r="H5" s="24" t="s">
        <v>2</v>
      </c>
      <c r="I5" s="24" t="s">
        <v>4</v>
      </c>
      <c r="J5" s="24">
        <v>27</v>
      </c>
      <c r="K5" s="24" t="s">
        <v>4</v>
      </c>
      <c r="L5" s="24" t="s">
        <v>2</v>
      </c>
      <c r="M5" s="29" t="s">
        <v>2</v>
      </c>
    </row>
    <row r="6" spans="2:13" ht="15.75" customHeight="1" x14ac:dyDescent="0.25">
      <c r="B6" s="14" t="s">
        <v>6</v>
      </c>
      <c r="C6" s="18">
        <f>(4/7)*5</f>
        <v>2.8571428571428568</v>
      </c>
      <c r="D6" s="23">
        <v>5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>
        <v>45</v>
      </c>
      <c r="K6" s="23" t="s">
        <v>2</v>
      </c>
      <c r="L6" s="23" t="s">
        <v>2</v>
      </c>
      <c r="M6" s="28" t="s">
        <v>4</v>
      </c>
    </row>
    <row r="7" spans="2:13" ht="15.75" customHeight="1" x14ac:dyDescent="0.25">
      <c r="B7" s="15" t="s">
        <v>7</v>
      </c>
      <c r="C7" s="19">
        <f>(6/7)*5</f>
        <v>4.2857142857142856</v>
      </c>
      <c r="D7" s="24">
        <v>4</v>
      </c>
      <c r="E7" s="24" t="s">
        <v>4</v>
      </c>
      <c r="F7" s="24" t="s">
        <v>2</v>
      </c>
      <c r="G7" s="24" t="s">
        <v>2</v>
      </c>
      <c r="H7" s="24" t="s">
        <v>2</v>
      </c>
      <c r="I7" s="24" t="s">
        <v>4</v>
      </c>
      <c r="J7" s="24">
        <v>65</v>
      </c>
      <c r="K7" s="24" t="s">
        <v>4</v>
      </c>
      <c r="L7" s="24" t="s">
        <v>2</v>
      </c>
      <c r="M7" s="29" t="s">
        <v>2</v>
      </c>
    </row>
    <row r="8" spans="2:13" ht="15.75" customHeight="1" x14ac:dyDescent="0.25">
      <c r="B8" s="14" t="s">
        <v>8</v>
      </c>
      <c r="C8" s="18">
        <v>5</v>
      </c>
      <c r="D8" s="23">
        <v>5</v>
      </c>
      <c r="E8" s="23" t="s">
        <v>4</v>
      </c>
      <c r="F8" s="23" t="s">
        <v>2</v>
      </c>
      <c r="G8" s="23" t="s">
        <v>2</v>
      </c>
      <c r="H8" s="23" t="s">
        <v>2</v>
      </c>
      <c r="I8" s="23" t="s">
        <v>4</v>
      </c>
      <c r="J8" s="23">
        <v>80</v>
      </c>
      <c r="K8" s="23" t="s">
        <v>2</v>
      </c>
      <c r="L8" s="23" t="s">
        <v>2</v>
      </c>
      <c r="M8" s="28" t="s">
        <v>2</v>
      </c>
    </row>
    <row r="9" spans="2:13" ht="15.75" customHeight="1" thickBot="1" x14ac:dyDescent="0.3">
      <c r="B9" s="16" t="s">
        <v>9</v>
      </c>
      <c r="C9" s="20">
        <f>(6/7)*5</f>
        <v>4.2857142857142856</v>
      </c>
      <c r="D9" s="25">
        <v>4</v>
      </c>
      <c r="E9" s="25" t="s">
        <v>4</v>
      </c>
      <c r="F9" s="25" t="s">
        <v>2</v>
      </c>
      <c r="G9" s="25" t="s">
        <v>2</v>
      </c>
      <c r="H9" s="25" t="s">
        <v>2</v>
      </c>
      <c r="I9" s="25" t="s">
        <v>4</v>
      </c>
      <c r="J9" s="25">
        <v>65</v>
      </c>
      <c r="K9" s="25" t="s">
        <v>4</v>
      </c>
      <c r="L9" s="25" t="s">
        <v>2</v>
      </c>
      <c r="M9" s="30" t="s">
        <v>2</v>
      </c>
    </row>
    <row r="10" spans="2:13" ht="15.75" customHeight="1" x14ac:dyDescent="0.25">
      <c r="C10" s="7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13" ht="15.75" customHeight="1" x14ac:dyDescent="0.25">
      <c r="C11" s="7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3" ht="15.75" customHeight="1" x14ac:dyDescent="0.25">
      <c r="C12" s="7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3" ht="15.75" customHeight="1" x14ac:dyDescent="0.25">
      <c r="C13" s="7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15.75" customHeight="1" x14ac:dyDescent="0.25"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2:13" ht="15.75" customHeight="1" x14ac:dyDescent="0.25"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ht="15.75" customHeight="1" x14ac:dyDescent="0.25"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4:13" ht="15.75" customHeight="1" x14ac:dyDescent="0.25"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4:13" ht="15.75" customHeight="1" x14ac:dyDescent="0.25"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4:13" ht="15.75" customHeight="1" x14ac:dyDescent="0.25"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4:13" ht="15.75" customHeight="1" x14ac:dyDescent="0.25"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4:13" ht="15.75" customHeight="1" x14ac:dyDescent="0.25"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8BBA-B3A0-4020-8D5C-338D7CC89544}">
  <dimension ref="B1:C13"/>
  <sheetViews>
    <sheetView tabSelected="1" zoomScale="88" zoomScaleNormal="88" workbookViewId="0">
      <selection activeCell="H14" sqref="H14"/>
    </sheetView>
  </sheetViews>
  <sheetFormatPr defaultRowHeight="12.5" x14ac:dyDescent="0.25"/>
  <cols>
    <col min="2" max="2" width="66.453125" customWidth="1"/>
  </cols>
  <sheetData>
    <row r="1" spans="2:3" ht="13" thickBot="1" x14ac:dyDescent="0.3"/>
    <row r="2" spans="2:3" ht="22.5" customHeight="1" thickBot="1" x14ac:dyDescent="0.35">
      <c r="B2" s="3" t="s">
        <v>10</v>
      </c>
      <c r="C2" s="4" t="s">
        <v>12</v>
      </c>
    </row>
    <row r="3" spans="2:3" ht="20" customHeight="1" thickBot="1" x14ac:dyDescent="0.3">
      <c r="B3" s="8" t="s">
        <v>11</v>
      </c>
      <c r="C3" s="9">
        <f>COUNTA('Form responses 1'!B3:B21)</f>
        <v>7</v>
      </c>
    </row>
    <row r="4" spans="2:3" ht="20" customHeight="1" x14ac:dyDescent="0.25">
      <c r="B4" s="5" t="s">
        <v>22</v>
      </c>
      <c r="C4" s="10">
        <f>AVERAGE('Form responses 1'!C3:C13)</f>
        <v>3.7755102040816326</v>
      </c>
    </row>
    <row r="5" spans="2:3" ht="20.5" customHeight="1" x14ac:dyDescent="0.25">
      <c r="B5" s="5" t="s">
        <v>13</v>
      </c>
      <c r="C5" s="10">
        <f>AVERAGE('Form responses 1'!D3:D21)</f>
        <v>4.5714285714285712</v>
      </c>
    </row>
    <row r="6" spans="2:3" ht="21.5" customHeight="1" x14ac:dyDescent="0.25">
      <c r="B6" s="5" t="s">
        <v>14</v>
      </c>
      <c r="C6" s="10">
        <f>(COUNTIF('Form responses 1'!E3:E21,"Yes")/COUNTA('Form responses 1'!E3:E21))*5</f>
        <v>2.1428571428571428</v>
      </c>
    </row>
    <row r="7" spans="2:3" ht="21.5" customHeight="1" x14ac:dyDescent="0.25">
      <c r="B7" s="5" t="s">
        <v>21</v>
      </c>
      <c r="C7" s="10">
        <f>(COUNTIF('Form responses 1'!F3:F13,"Yes")/COUNTA('Form responses 1'!F3:F13))*5</f>
        <v>5</v>
      </c>
    </row>
    <row r="8" spans="2:3" ht="20.5" customHeight="1" x14ac:dyDescent="0.25">
      <c r="B8" s="5" t="s">
        <v>15</v>
      </c>
      <c r="C8" s="10">
        <f>(COUNTIF('Form responses 1'!G3:G21,"Yes")/COUNTA('Form responses 1'!G3:G21))*5</f>
        <v>5</v>
      </c>
    </row>
    <row r="9" spans="2:3" ht="21" customHeight="1" x14ac:dyDescent="0.25">
      <c r="B9" s="5" t="s">
        <v>16</v>
      </c>
      <c r="C9" s="10">
        <f>(COUNTIF('Form responses 1'!H3:H21,"Yes")/COUNTA('Form responses 1'!H3:H21)*5)</f>
        <v>5</v>
      </c>
    </row>
    <row r="10" spans="2:3" ht="21" customHeight="1" x14ac:dyDescent="0.25">
      <c r="B10" s="5" t="s">
        <v>17</v>
      </c>
      <c r="C10" s="10">
        <f>(COUNTIF('Form responses 1'!I3:I21,"Yes")/COUNTA('Form responses 1'!I3:I21))*5</f>
        <v>2.1428571428571428</v>
      </c>
    </row>
    <row r="11" spans="2:3" ht="21" customHeight="1" x14ac:dyDescent="0.25">
      <c r="B11" s="5" t="s">
        <v>18</v>
      </c>
      <c r="C11" s="10">
        <f>(COUNTIF('Form responses 1'!K3:K21,"Yes")/COUNTA('Form responses 1'!K3:K21))*5</f>
        <v>2.8571428571428568</v>
      </c>
    </row>
    <row r="12" spans="2:3" ht="21" customHeight="1" x14ac:dyDescent="0.25">
      <c r="B12" s="5" t="s">
        <v>19</v>
      </c>
      <c r="C12" s="10">
        <f>(COUNTIF('Form responses 1'!L3:L21,"Yes")/COUNTA('Form responses 1'!L3:L21)*5)</f>
        <v>5</v>
      </c>
    </row>
    <row r="13" spans="2:3" ht="21.5" customHeight="1" thickBot="1" x14ac:dyDescent="0.3">
      <c r="B13" s="6" t="s">
        <v>20</v>
      </c>
      <c r="C13" s="11">
        <f>(COUNTIF('Form responses 1'!M3:M21,"Yes")/COUNTA('Form responses 1'!M3:M21))*5</f>
        <v>3.5714285714285716</v>
      </c>
    </row>
  </sheetData>
  <conditionalFormatting sqref="C4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Summary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 KUMAR RATH</cp:lastModifiedBy>
  <dcterms:modified xsi:type="dcterms:W3CDTF">2025-06-26T11:15:39Z</dcterms:modified>
</cp:coreProperties>
</file>