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:\C Drive\Document File\SBI Summer Internship\"/>
    </mc:Choice>
  </mc:AlternateContent>
  <xr:revisionPtr revIDLastSave="0" documentId="13_ncr:1_{ADBA00AF-D797-43F8-85EA-BB94BB86D803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Form responses 1" sheetId="1" r:id="rId1"/>
    <sheet name="Summary Analysis" sheetId="2" r:id="rId2"/>
  </sheets>
  <calcPr calcId="181029"/>
</workbook>
</file>

<file path=xl/calcChain.xml><?xml version="1.0" encoding="utf-8"?>
<calcChain xmlns="http://schemas.openxmlformats.org/spreadsheetml/2006/main">
  <c r="C13" i="2" l="1"/>
  <c r="C12" i="2"/>
  <c r="C11" i="2"/>
  <c r="C9" i="2"/>
  <c r="C10" i="2"/>
  <c r="C6" i="2"/>
  <c r="C5" i="2"/>
  <c r="C7" i="2"/>
  <c r="G14" i="1"/>
  <c r="G13" i="1"/>
  <c r="G12" i="1"/>
  <c r="G11" i="1"/>
  <c r="G10" i="1"/>
  <c r="G9" i="1"/>
  <c r="G8" i="1"/>
  <c r="G7" i="1"/>
  <c r="G6" i="1"/>
  <c r="G5" i="1"/>
  <c r="G4" i="1"/>
  <c r="G3" i="1"/>
  <c r="C15" i="2"/>
  <c r="C14" i="2"/>
  <c r="C4" i="2"/>
  <c r="C3" i="2"/>
  <c r="C8" i="2" l="1"/>
</calcChain>
</file>

<file path=xl/sharedStrings.xml><?xml version="1.0" encoding="utf-8"?>
<sst xmlns="http://schemas.openxmlformats.org/spreadsheetml/2006/main" count="125" uniqueCount="43">
  <si>
    <t xml:space="preserve">Relationship Manager Name </t>
  </si>
  <si>
    <t xml:space="preserve">How would you rate the digital interface and user experience of SBI wealth management platform? </t>
  </si>
  <si>
    <t>Have you leveraged Centre of influences like partnering with Accountants, Portfolio Doctors, Real Estate Professionals etc.</t>
  </si>
  <si>
    <t>On average, how many wealth clients do you manage per month?</t>
  </si>
  <si>
    <t>Do you deliver Exceptional Personalized service like customizing financial Plans to not just risk profiles but most important, to life goals (child education, marriage, retirement)?</t>
  </si>
  <si>
    <t>Should IWMS Portal should be synced with CBS (Core Banking Solutions) to Bridge gap between wealth Business &amp; Retail Banking.</t>
  </si>
  <si>
    <t>Does your wealth service use DLT (Distributed Ledgers Technology) based shared KYC Platform &amp; Client Onboarding Process across it’s group (SBI Mutual Fund, SBI Life, etc)</t>
  </si>
  <si>
    <t>Does your wealth service use smart contracts (automated fee payment from your Portfolio or fund switch based on predefined preference) for private wealth account automation?</t>
  </si>
  <si>
    <t xml:space="preserve">Does your wealth service use E-Aggregators to integrate data from SBI Life, SBI Mutual Fund, and even third-party investments into a single consolidated dashboard for 360-degree Financial View? </t>
  </si>
  <si>
    <t>Does your wealth service use Robo advisors for clients and AI-Based Prompt for RM’s suggesting Products offerings based on Client investment behaviour?</t>
  </si>
  <si>
    <t>What is the Client Retention Ratio?</t>
  </si>
  <si>
    <t>Aman Kumar</t>
  </si>
  <si>
    <t>Yes</t>
  </si>
  <si>
    <t>Vandana Bharti</t>
  </si>
  <si>
    <t>No</t>
  </si>
  <si>
    <t>Navin kumar</t>
  </si>
  <si>
    <t>Partially</t>
  </si>
  <si>
    <t xml:space="preserve">Shobhit Tripathi </t>
  </si>
  <si>
    <t>Somewhat</t>
  </si>
  <si>
    <t>Shalini Singh</t>
  </si>
  <si>
    <t>Ujjaval Verma</t>
  </si>
  <si>
    <t xml:space="preserve">Mallika Bhattacharya </t>
  </si>
  <si>
    <t>Agnivesh Kumar</t>
  </si>
  <si>
    <t>Adarsh Ranjan</t>
  </si>
  <si>
    <t>Rahul Gupta</t>
  </si>
  <si>
    <t>Chetan Kumar</t>
  </si>
  <si>
    <t>Nitin Sethi</t>
  </si>
  <si>
    <t>Average Digital Experience &amp; Satisfaction Score</t>
  </si>
  <si>
    <t>Center of Influences Leverage (Yes%)</t>
  </si>
  <si>
    <t>-</t>
  </si>
  <si>
    <t>Provision of Personalised Services (Yes%)</t>
  </si>
  <si>
    <t>IWMS Portal synced with CBS(Core Banking Solution) (Yes%)</t>
  </si>
  <si>
    <t>SBI Wealth using DLT (Distributed Ledger Technology) (Yes%)</t>
  </si>
  <si>
    <t>SBI Wealth using Smart Contracts (Yes%)</t>
  </si>
  <si>
    <t>SBI Wealth using E-Aggregators (Yes%)</t>
  </si>
  <si>
    <t>SBI Wealth using Robo advisors &amp; AI-Based Prompts</t>
  </si>
  <si>
    <t>SBI Wealth Client Retention Ratio</t>
  </si>
  <si>
    <t>Results</t>
  </si>
  <si>
    <t>Wealth Survey Summary</t>
  </si>
  <si>
    <t>Are Home Branches/ Retail Employees well versed with wealth products (Yes%)</t>
  </si>
  <si>
    <t>Reforms in Products to cater Young Affluent Investor Base Rating?</t>
  </si>
  <si>
    <t>Total RM Responses</t>
  </si>
  <si>
    <t>Are Home Branches/ Retail Employees well versed with wealth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</si>
</sst>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2"/>
      <color rgb="FF000000"/>
      <name val="Times New Roman"/>
      <family val="1"/>
    </font>
    <font>
      <sz val="9"/>
      <color theme="1"/>
      <name val="Arial"/>
      <family val="2"/>
      <scheme val="minor"/>
    </font>
    <font>
      <b/>
      <sz val="9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442F65"/>
      </bottom>
      <diagonal/>
    </border>
    <border>
      <left style="medium">
        <color indexed="64"/>
      </left>
      <right style="medium">
        <color indexed="64"/>
      </right>
      <top style="thin">
        <color rgb="FFF8F9FA"/>
      </top>
      <bottom style="thin">
        <color rgb="FFF8F9FA"/>
      </bottom>
      <diagonal/>
    </border>
    <border>
      <left style="medium">
        <color indexed="64"/>
      </left>
      <right style="medium">
        <color indexed="64"/>
      </right>
      <top style="thin">
        <color rgb="FFFFFFFF"/>
      </top>
      <bottom style="thin">
        <color rgb="FFFFFFFF"/>
      </bottom>
      <diagonal/>
    </border>
    <border>
      <left style="medium">
        <color indexed="64"/>
      </left>
      <right style="medium">
        <color indexed="64"/>
      </right>
      <top style="thin">
        <color rgb="FFFFFFFF"/>
      </top>
      <bottom style="medium">
        <color indexed="64"/>
      </bottom>
      <diagonal/>
    </border>
    <border>
      <left/>
      <right/>
      <top/>
      <bottom style="thin">
        <color rgb="FF442F65"/>
      </bottom>
      <diagonal/>
    </border>
    <border>
      <left/>
      <right/>
      <top style="thin">
        <color rgb="FFF8F9FA"/>
      </top>
      <bottom style="thin">
        <color rgb="FFF8F9FA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164" fontId="0" fillId="3" borderId="2" xfId="0" applyNumberFormat="1" applyFill="1" applyBorder="1" applyAlignment="1">
      <alignment horizontal="center"/>
    </xf>
    <xf numFmtId="1" fontId="0" fillId="4" borderId="4" xfId="0" applyNumberForma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64" fontId="0" fillId="3" borderId="3" xfId="0" applyNumberForma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4" fillId="2" borderId="7" xfId="0" applyFont="1" applyFill="1" applyBorder="1" applyAlignment="1">
      <alignment horizontal="left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1" fontId="1" fillId="0" borderId="9" xfId="0" applyNumberFormat="1" applyFont="1" applyBorder="1" applyAlignment="1">
      <alignment horizontal="center" vertical="center"/>
    </xf>
    <xf numFmtId="1" fontId="1" fillId="0" borderId="10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4" fillId="2" borderId="11" xfId="0" applyFont="1" applyFill="1" applyBorder="1" applyAlignment="1">
      <alignment horizontal="left" vertical="center" wrapText="1"/>
    </xf>
    <xf numFmtId="0" fontId="5" fillId="2" borderId="7" xfId="0" applyFont="1" applyFill="1" applyBorder="1" applyAlignment="1">
      <alignment horizontal="left"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</cellXfs>
  <cellStyles count="1">
    <cellStyle name="Normal" xfId="0" builtinId="0"/>
  </cellStyles>
  <dxfs count="18">
    <dxf>
      <alignment horizont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</border>
    </dxf>
    <dxf>
      <alignment horizont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alignment horizont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alignment horizont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alignment horizont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border diagonalUp="0" diagonalDown="0">
        <left style="medium">
          <color indexed="64"/>
        </left>
        <right style="medium">
          <color indexed="64"/>
        </right>
        <vertic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00000000-0011-0000-FFFF-FFFF00000000}">
      <tableStyleElement type="headerRow" dxfId="17"/>
      <tableStyleElement type="firstRowStripe" dxfId="16"/>
      <tableStyleElement type="secondRowStripe" dxfId="1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accent1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accent1">
                    <a:lumMod val="20000"/>
                    <a:lumOff val="80000"/>
                  </a:schemeClr>
                </a:solidFill>
              </a:rPr>
              <a:t>RM Survey Avg</a:t>
            </a:r>
            <a:r>
              <a:rPr lang="en-IN" baseline="0">
                <a:solidFill>
                  <a:schemeClr val="accent1">
                    <a:lumMod val="20000"/>
                    <a:lumOff val="80000"/>
                  </a:schemeClr>
                </a:solidFill>
              </a:rPr>
              <a:t> Score per Question</a:t>
            </a:r>
            <a:endParaRPr lang="en-IN">
              <a:solidFill>
                <a:schemeClr val="accent1">
                  <a:lumMod val="20000"/>
                  <a:lumOff val="8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accent1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Analysis'!$B$4:$B$15</c:f>
              <c:strCache>
                <c:ptCount val="12"/>
                <c:pt idx="0">
                  <c:v>Average Digital Experience &amp; Satisfaction Score</c:v>
                </c:pt>
                <c:pt idx="1">
                  <c:v>Center of Influences Leverage (Yes%)</c:v>
                </c:pt>
                <c:pt idx="2">
                  <c:v>Provision of Personalised Services (Yes%)</c:v>
                </c:pt>
                <c:pt idx="3">
                  <c:v>IWMS Portal synced with CBS(Core Banking Solution) (Yes%)</c:v>
                </c:pt>
                <c:pt idx="4">
                  <c:v>Reforms in Products to cater Young Affluent Investor Base Rating?</c:v>
                </c:pt>
                <c:pt idx="5">
                  <c:v>Are Home Branches/ Retail Employees well versed with wealth products (Yes%)</c:v>
                </c:pt>
                <c:pt idx="6">
                  <c:v>IWMS Portal synced with CBS(Core Banking Solution) (Yes%)</c:v>
                </c:pt>
                <c:pt idx="7">
                  <c:v>SBI Wealth using DLT (Distributed Ledger Technology) (Yes%)</c:v>
                </c:pt>
                <c:pt idx="8">
                  <c:v>SBI Wealth using Smart Contracts (Yes%)</c:v>
                </c:pt>
                <c:pt idx="9">
                  <c:v>SBI Wealth using E-Aggregators (Yes%)</c:v>
                </c:pt>
                <c:pt idx="10">
                  <c:v>SBI Wealth using Robo advisors &amp; AI-Based Prompts</c:v>
                </c:pt>
                <c:pt idx="11">
                  <c:v>SBI Wealth Client Retention Ratio</c:v>
                </c:pt>
              </c:strCache>
            </c:strRef>
          </c:cat>
          <c:val>
            <c:numRef>
              <c:f>'Summary Analysis'!$C$4:$C$15</c:f>
              <c:numCache>
                <c:formatCode>0.0</c:formatCode>
                <c:ptCount val="12"/>
                <c:pt idx="0">
                  <c:v>3.5833333333333335</c:v>
                </c:pt>
                <c:pt idx="1">
                  <c:v>3.333333333333333</c:v>
                </c:pt>
                <c:pt idx="2">
                  <c:v>4.583333333333333</c:v>
                </c:pt>
                <c:pt idx="3">
                  <c:v>4.583333333333333</c:v>
                </c:pt>
                <c:pt idx="4">
                  <c:v>2.8125</c:v>
                </c:pt>
                <c:pt idx="5">
                  <c:v>0.83333333333333326</c:v>
                </c:pt>
                <c:pt idx="6">
                  <c:v>4.583333333333333</c:v>
                </c:pt>
                <c:pt idx="7">
                  <c:v>1.25</c:v>
                </c:pt>
                <c:pt idx="8">
                  <c:v>0.83333333333333326</c:v>
                </c:pt>
                <c:pt idx="9">
                  <c:v>1.25</c:v>
                </c:pt>
                <c:pt idx="10">
                  <c:v>4</c:v>
                </c:pt>
                <c:pt idx="11">
                  <c:v>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E4-4763-A4CE-0C1447B5761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143542016"/>
        <c:axId val="1143552096"/>
      </c:lineChart>
      <c:catAx>
        <c:axId val="114354201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552096"/>
        <c:crosses val="autoZero"/>
        <c:auto val="1"/>
        <c:lblAlgn val="ctr"/>
        <c:lblOffset val="100"/>
        <c:noMultiLvlLbl val="0"/>
      </c:catAx>
      <c:valAx>
        <c:axId val="114355209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542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50" baseline="0">
                <a:solidFill>
                  <a:schemeClr val="accent1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accent1">
                    <a:lumMod val="20000"/>
                    <a:lumOff val="80000"/>
                  </a:schemeClr>
                </a:solidFill>
              </a:rPr>
              <a:t>Avg</a:t>
            </a:r>
            <a:r>
              <a:rPr lang="en-IN" b="1" baseline="0">
                <a:solidFill>
                  <a:schemeClr val="accent1">
                    <a:lumMod val="20000"/>
                    <a:lumOff val="80000"/>
                  </a:schemeClr>
                </a:solidFill>
              </a:rPr>
              <a:t> Score per Question </a:t>
            </a:r>
            <a:endParaRPr lang="en-IN" b="1">
              <a:solidFill>
                <a:schemeClr val="accent1">
                  <a:lumMod val="20000"/>
                  <a:lumOff val="8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50" baseline="0">
              <a:solidFill>
                <a:schemeClr val="accent1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'Summary Analysis'!$B$4:$B$15</c:f>
              <c:strCache>
                <c:ptCount val="12"/>
                <c:pt idx="0">
                  <c:v>Average Digital Experience &amp; Satisfaction Score</c:v>
                </c:pt>
                <c:pt idx="1">
                  <c:v>Center of Influences Leverage (Yes%)</c:v>
                </c:pt>
                <c:pt idx="2">
                  <c:v>Provision of Personalised Services (Yes%)</c:v>
                </c:pt>
                <c:pt idx="3">
                  <c:v>IWMS Portal synced with CBS(Core Banking Solution) (Yes%)</c:v>
                </c:pt>
                <c:pt idx="4">
                  <c:v>Reforms in Products to cater Young Affluent Investor Base Rating?</c:v>
                </c:pt>
                <c:pt idx="5">
                  <c:v>Are Home Branches/ Retail Employees well versed with wealth products (Yes%)</c:v>
                </c:pt>
                <c:pt idx="6">
                  <c:v>IWMS Portal synced with CBS(Core Banking Solution) (Yes%)</c:v>
                </c:pt>
                <c:pt idx="7">
                  <c:v>SBI Wealth using DLT (Distributed Ledger Technology) (Yes%)</c:v>
                </c:pt>
                <c:pt idx="8">
                  <c:v>SBI Wealth using Smart Contracts (Yes%)</c:v>
                </c:pt>
                <c:pt idx="9">
                  <c:v>SBI Wealth using E-Aggregators (Yes%)</c:v>
                </c:pt>
                <c:pt idx="10">
                  <c:v>SBI Wealth using Robo advisors &amp; AI-Based Prompts</c:v>
                </c:pt>
                <c:pt idx="11">
                  <c:v>SBI Wealth Client Retention Ratio</c:v>
                </c:pt>
              </c:strCache>
            </c:strRef>
          </c:cat>
          <c:val>
            <c:numRef>
              <c:f>'Summary Analysis'!$C$4:$C$15</c:f>
              <c:numCache>
                <c:formatCode>0.0</c:formatCode>
                <c:ptCount val="12"/>
                <c:pt idx="0">
                  <c:v>3.5833333333333335</c:v>
                </c:pt>
                <c:pt idx="1">
                  <c:v>3.333333333333333</c:v>
                </c:pt>
                <c:pt idx="2">
                  <c:v>4.583333333333333</c:v>
                </c:pt>
                <c:pt idx="3">
                  <c:v>4.583333333333333</c:v>
                </c:pt>
                <c:pt idx="4">
                  <c:v>2.8125</c:v>
                </c:pt>
                <c:pt idx="5">
                  <c:v>0.83333333333333326</c:v>
                </c:pt>
                <c:pt idx="6">
                  <c:v>4.583333333333333</c:v>
                </c:pt>
                <c:pt idx="7">
                  <c:v>1.25</c:v>
                </c:pt>
                <c:pt idx="8">
                  <c:v>0.83333333333333326</c:v>
                </c:pt>
                <c:pt idx="9">
                  <c:v>1.25</c:v>
                </c:pt>
                <c:pt idx="10">
                  <c:v>4</c:v>
                </c:pt>
                <c:pt idx="11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A3-4CC4-89FB-FD8BEE885D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3551136"/>
        <c:axId val="1143538656"/>
      </c:radarChart>
      <c:catAx>
        <c:axId val="1143551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538656"/>
        <c:crosses val="autoZero"/>
        <c:auto val="1"/>
        <c:lblAlgn val="ctr"/>
        <c:lblOffset val="100"/>
        <c:noMultiLvlLbl val="0"/>
      </c:catAx>
      <c:valAx>
        <c:axId val="1143538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551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60324</xdr:colOff>
      <xdr:row>17</xdr:row>
      <xdr:rowOff>135467</xdr:rowOff>
    </xdr:from>
    <xdr:to>
      <xdr:col>4</xdr:col>
      <xdr:colOff>596899</xdr:colOff>
      <xdr:row>35</xdr:row>
      <xdr:rowOff>97367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B4194AA-CAF6-574A-A102-0104C65B4C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621284</xdr:colOff>
      <xdr:row>17</xdr:row>
      <xdr:rowOff>131430</xdr:rowOff>
    </xdr:from>
    <xdr:to>
      <xdr:col>8</xdr:col>
      <xdr:colOff>549404</xdr:colOff>
      <xdr:row>34</xdr:row>
      <xdr:rowOff>141069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BC8B517-EA39-204F-2ECC-243681F85A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B2:N14" headerRowDxfId="14" tableBorderDxfId="13">
  <tableColumns count="13">
    <tableColumn id="2" xr3:uid="{00000000-0010-0000-0000-000002000000}" name="Relationship Manager Name " dataDxfId="12"/>
    <tableColumn id="3" xr3:uid="{00000000-0010-0000-0000-000003000000}" name="How would you rate the digital interface and user experience of SBI wealth management platform? " dataDxfId="11"/>
    <tableColumn id="7" xr3:uid="{00000000-0010-0000-0000-000007000000}" name="Have you leveraged Centre of influences like partnering with Accountants, Portfolio Doctors, Real Estate Professionals etc." dataDxfId="10"/>
    <tableColumn id="9" xr3:uid="{00000000-0010-0000-0000-000009000000}" name="On average, how many wealth clients do you manage per month?" dataDxfId="9"/>
    <tableColumn id="10" xr3:uid="{00000000-0010-0000-0000-00000A000000}" name="Do you deliver Exceptional Personalized service like customizing financial Plans to not just risk profiles but most important, to life goals (child education, marriage, retirement)?" dataDxfId="8"/>
    <tableColumn id="12" xr3:uid="{00000000-0010-0000-0000-00000C000000}" name="Reforms in Products to cater Young Affluent Investor Base Rating?" dataDxfId="7"/>
    <tableColumn id="21" xr3:uid="{00000000-0010-0000-0000-000015000000}" name="Are Home Branches/ Retail Employees well versed with wealth products" dataDxfId="6"/>
    <tableColumn id="22" xr3:uid="{00000000-0010-0000-0000-000016000000}" name="Should IWMS Portal should be synced with CBS (Core Banking Solutions) to Bridge gap between wealth Business &amp; Retail Banking." dataDxfId="5"/>
    <tableColumn id="23" xr3:uid="{00000000-0010-0000-0000-000017000000}" name="Does your wealth service use DLT (Distributed Ledgers Technology) based shared KYC Platform &amp; Client Onboarding Process across it’s group (SBI Mutual Fund, SBI Life, etc)" dataDxfId="4"/>
    <tableColumn id="24" xr3:uid="{00000000-0010-0000-0000-000018000000}" name="Does your wealth service use smart contracts (automated fee payment from your Portfolio or fund switch based on predefined preference) for private wealth account automation?" dataDxfId="3"/>
    <tableColumn id="25" xr3:uid="{00000000-0010-0000-0000-000019000000}" name="Does your wealth service use E-Aggregators to integrate data from SBI Life, SBI Mutual Fund, and even third-party investments into a single consolidated dashboard for 360-degree Financial View? " dataDxfId="2"/>
    <tableColumn id="26" xr3:uid="{00000000-0010-0000-0000-00001A000000}" name="Does your wealth service use Robo advisors for clients and AI-Based Prompt for RM’s suggesting Products offerings based on Client investment behaviour?" dataDxfId="1"/>
    <tableColumn id="28" xr3:uid="{00000000-0010-0000-0000-00001C000000}" name="What is the Client Retention Ratio?" dataDxfId="0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N22"/>
  <sheetViews>
    <sheetView zoomScale="89" zoomScaleNormal="89" workbookViewId="0">
      <pane ySplit="2" topLeftCell="A11" activePane="bottomLeft" state="frozen"/>
      <selection pane="bottomLeft" activeCell="P15" sqref="P15"/>
    </sheetView>
  </sheetViews>
  <sheetFormatPr defaultColWidth="12.6328125" defaultRowHeight="15.75" customHeight="1" x14ac:dyDescent="0.25"/>
  <cols>
    <col min="2" max="2" width="17.36328125" customWidth="1"/>
    <col min="3" max="3" width="10.26953125" customWidth="1"/>
    <col min="4" max="4" width="11.54296875" customWidth="1"/>
    <col min="5" max="5" width="7.08984375" customWidth="1"/>
    <col min="6" max="6" width="15.54296875" customWidth="1"/>
    <col min="7" max="7" width="7.36328125" customWidth="1"/>
    <col min="8" max="8" width="9.90625" customWidth="1"/>
    <col min="9" max="9" width="11.90625" customWidth="1"/>
    <col min="10" max="10" width="15.1796875" customWidth="1"/>
    <col min="11" max="11" width="16" customWidth="1"/>
    <col min="12" max="12" width="16.453125" customWidth="1"/>
    <col min="13" max="13" width="13.6328125" customWidth="1"/>
    <col min="14" max="14" width="7.7265625" customWidth="1"/>
  </cols>
  <sheetData>
    <row r="1" spans="2:14" ht="15.75" customHeight="1" thickBot="1" x14ac:dyDescent="0.3"/>
    <row r="2" spans="2:14" s="1" customFormat="1" ht="129" customHeight="1" x14ac:dyDescent="0.25">
      <c r="B2" s="25" t="s">
        <v>0</v>
      </c>
      <c r="C2" s="16" t="s">
        <v>1</v>
      </c>
      <c r="D2" s="16" t="s">
        <v>2</v>
      </c>
      <c r="E2" s="16" t="s">
        <v>3</v>
      </c>
      <c r="F2" s="16" t="s">
        <v>4</v>
      </c>
      <c r="G2" s="16" t="s">
        <v>40</v>
      </c>
      <c r="H2" s="16" t="s">
        <v>42</v>
      </c>
      <c r="I2" s="16" t="s">
        <v>5</v>
      </c>
      <c r="J2" s="16" t="s">
        <v>6</v>
      </c>
      <c r="K2" s="16" t="s">
        <v>7</v>
      </c>
      <c r="L2" s="16" t="s">
        <v>8</v>
      </c>
      <c r="M2" s="16" t="s">
        <v>9</v>
      </c>
      <c r="N2" s="24" t="s">
        <v>10</v>
      </c>
    </row>
    <row r="3" spans="2:14" ht="15.75" customHeight="1" x14ac:dyDescent="0.25">
      <c r="B3" s="13" t="s">
        <v>13</v>
      </c>
      <c r="C3" s="17">
        <v>4</v>
      </c>
      <c r="D3" s="17" t="s">
        <v>12</v>
      </c>
      <c r="E3" s="17">
        <v>35</v>
      </c>
      <c r="F3" s="17" t="s">
        <v>12</v>
      </c>
      <c r="G3" s="20">
        <f>(8/8)*5</f>
        <v>5</v>
      </c>
      <c r="H3" s="17" t="s">
        <v>14</v>
      </c>
      <c r="I3" s="17" t="s">
        <v>14</v>
      </c>
      <c r="J3" s="17" t="s">
        <v>14</v>
      </c>
      <c r="K3" s="17" t="s">
        <v>14</v>
      </c>
      <c r="L3" s="17" t="s">
        <v>14</v>
      </c>
      <c r="M3" s="17">
        <v>4</v>
      </c>
      <c r="N3" s="26">
        <v>4</v>
      </c>
    </row>
    <row r="4" spans="2:14" ht="15.75" customHeight="1" x14ac:dyDescent="0.25">
      <c r="B4" s="14" t="s">
        <v>15</v>
      </c>
      <c r="C4" s="18">
        <v>4</v>
      </c>
      <c r="D4" s="18" t="s">
        <v>12</v>
      </c>
      <c r="E4" s="18">
        <v>50</v>
      </c>
      <c r="F4" s="18" t="s">
        <v>14</v>
      </c>
      <c r="G4" s="21">
        <f>(5/8)*5</f>
        <v>3.125</v>
      </c>
      <c r="H4" s="18" t="s">
        <v>14</v>
      </c>
      <c r="I4" s="18" t="s">
        <v>12</v>
      </c>
      <c r="J4" s="18" t="s">
        <v>16</v>
      </c>
      <c r="K4" s="18" t="s">
        <v>14</v>
      </c>
      <c r="L4" s="18" t="s">
        <v>14</v>
      </c>
      <c r="M4" s="18">
        <v>4</v>
      </c>
      <c r="N4" s="27">
        <v>3</v>
      </c>
    </row>
    <row r="5" spans="2:14" ht="15.75" customHeight="1" x14ac:dyDescent="0.25">
      <c r="B5" s="13" t="s">
        <v>17</v>
      </c>
      <c r="C5" s="17">
        <v>3</v>
      </c>
      <c r="D5" s="17" t="s">
        <v>12</v>
      </c>
      <c r="E5" s="17">
        <v>100</v>
      </c>
      <c r="F5" s="17" t="s">
        <v>12</v>
      </c>
      <c r="G5" s="20">
        <f>(5/8)*5</f>
        <v>3.125</v>
      </c>
      <c r="H5" s="17" t="s">
        <v>18</v>
      </c>
      <c r="I5" s="23" t="s">
        <v>12</v>
      </c>
      <c r="J5" s="17" t="s">
        <v>12</v>
      </c>
      <c r="K5" s="17" t="s">
        <v>14</v>
      </c>
      <c r="L5" s="17" t="s">
        <v>16</v>
      </c>
      <c r="M5" s="17">
        <v>4</v>
      </c>
      <c r="N5" s="26">
        <v>4</v>
      </c>
    </row>
    <row r="6" spans="2:14" ht="15.75" customHeight="1" x14ac:dyDescent="0.25">
      <c r="B6" s="14" t="s">
        <v>19</v>
      </c>
      <c r="C6" s="18">
        <v>3</v>
      </c>
      <c r="D6" s="18" t="s">
        <v>14</v>
      </c>
      <c r="E6" s="18">
        <v>100</v>
      </c>
      <c r="F6" s="18" t="s">
        <v>12</v>
      </c>
      <c r="G6" s="21">
        <f>(5/8)*5</f>
        <v>3.125</v>
      </c>
      <c r="H6" s="18" t="s">
        <v>18</v>
      </c>
      <c r="I6" s="18" t="s">
        <v>12</v>
      </c>
      <c r="J6" s="18" t="s">
        <v>16</v>
      </c>
      <c r="K6" s="18" t="s">
        <v>12</v>
      </c>
      <c r="L6" s="18" t="s">
        <v>16</v>
      </c>
      <c r="M6" s="18">
        <v>4</v>
      </c>
      <c r="N6" s="27">
        <v>2</v>
      </c>
    </row>
    <row r="7" spans="2:14" ht="15.75" customHeight="1" x14ac:dyDescent="0.25">
      <c r="B7" s="13" t="s">
        <v>20</v>
      </c>
      <c r="C7" s="17">
        <v>5</v>
      </c>
      <c r="D7" s="17" t="s">
        <v>14</v>
      </c>
      <c r="E7" s="17">
        <v>100</v>
      </c>
      <c r="F7" s="17" t="s">
        <v>12</v>
      </c>
      <c r="G7" s="20">
        <f>(4/8)*5</f>
        <v>2.5</v>
      </c>
      <c r="H7" s="17" t="s">
        <v>12</v>
      </c>
      <c r="I7" s="17" t="s">
        <v>12</v>
      </c>
      <c r="J7" s="17" t="s">
        <v>14</v>
      </c>
      <c r="K7" s="17" t="s">
        <v>14</v>
      </c>
      <c r="L7" s="17" t="s">
        <v>12</v>
      </c>
      <c r="M7" s="17">
        <v>2</v>
      </c>
      <c r="N7" s="26">
        <v>4</v>
      </c>
    </row>
    <row r="8" spans="2:14" ht="15.75" customHeight="1" x14ac:dyDescent="0.25">
      <c r="B8" s="14" t="s">
        <v>21</v>
      </c>
      <c r="C8" s="18">
        <v>5</v>
      </c>
      <c r="D8" s="18" t="s">
        <v>12</v>
      </c>
      <c r="E8" s="18" t="s">
        <v>29</v>
      </c>
      <c r="F8" s="18" t="s">
        <v>12</v>
      </c>
      <c r="G8" s="21">
        <f>(5/8)*5</f>
        <v>3.125</v>
      </c>
      <c r="H8" s="18" t="s">
        <v>14</v>
      </c>
      <c r="I8" s="18" t="s">
        <v>12</v>
      </c>
      <c r="J8" s="18" t="s">
        <v>12</v>
      </c>
      <c r="K8" s="18" t="s">
        <v>16</v>
      </c>
      <c r="L8" s="18" t="s">
        <v>16</v>
      </c>
      <c r="M8" s="18">
        <v>4</v>
      </c>
      <c r="N8" s="27">
        <v>4</v>
      </c>
    </row>
    <row r="9" spans="2:14" ht="15.75" customHeight="1" x14ac:dyDescent="0.25">
      <c r="B9" s="13" t="s">
        <v>22</v>
      </c>
      <c r="C9" s="17">
        <v>4</v>
      </c>
      <c r="D9" s="17" t="s">
        <v>12</v>
      </c>
      <c r="E9" s="17">
        <v>250</v>
      </c>
      <c r="F9" s="17" t="s">
        <v>12</v>
      </c>
      <c r="G9" s="20">
        <f>(3/8)*5</f>
        <v>1.875</v>
      </c>
      <c r="H9" s="17" t="s">
        <v>14</v>
      </c>
      <c r="I9" s="17" t="s">
        <v>12</v>
      </c>
      <c r="J9" s="17" t="s">
        <v>12</v>
      </c>
      <c r="K9" s="17" t="s">
        <v>14</v>
      </c>
      <c r="L9" s="17" t="s">
        <v>16</v>
      </c>
      <c r="M9" s="17">
        <v>3</v>
      </c>
      <c r="N9" s="26">
        <v>4</v>
      </c>
    </row>
    <row r="10" spans="2:14" ht="15.75" customHeight="1" x14ac:dyDescent="0.25">
      <c r="B10" s="14" t="s">
        <v>23</v>
      </c>
      <c r="C10" s="18">
        <v>2</v>
      </c>
      <c r="D10" s="18" t="s">
        <v>12</v>
      </c>
      <c r="E10" s="18">
        <v>35</v>
      </c>
      <c r="F10" s="18" t="s">
        <v>12</v>
      </c>
      <c r="G10" s="21">
        <f>(6/8)*5</f>
        <v>3.75</v>
      </c>
      <c r="H10" s="18" t="s">
        <v>14</v>
      </c>
      <c r="I10" s="18" t="s">
        <v>12</v>
      </c>
      <c r="J10" s="18" t="s">
        <v>14</v>
      </c>
      <c r="K10" s="18" t="s">
        <v>14</v>
      </c>
      <c r="L10" s="18" t="s">
        <v>16</v>
      </c>
      <c r="M10" s="18">
        <v>4</v>
      </c>
      <c r="N10" s="27">
        <v>3</v>
      </c>
    </row>
    <row r="11" spans="2:14" ht="15.75" customHeight="1" x14ac:dyDescent="0.25">
      <c r="B11" s="13" t="s">
        <v>24</v>
      </c>
      <c r="C11" s="17">
        <v>4</v>
      </c>
      <c r="D11" s="17" t="s">
        <v>14</v>
      </c>
      <c r="E11" s="17">
        <v>40</v>
      </c>
      <c r="F11" s="17" t="s">
        <v>12</v>
      </c>
      <c r="G11" s="20">
        <f>(4/8)*5</f>
        <v>2.5</v>
      </c>
      <c r="H11" s="17" t="s">
        <v>18</v>
      </c>
      <c r="I11" s="17" t="s">
        <v>12</v>
      </c>
      <c r="J11" s="17" t="s">
        <v>14</v>
      </c>
      <c r="K11" s="17" t="s">
        <v>14</v>
      </c>
      <c r="L11" s="17" t="s">
        <v>14</v>
      </c>
      <c r="M11" s="17">
        <v>4</v>
      </c>
      <c r="N11" s="26">
        <v>4</v>
      </c>
    </row>
    <row r="12" spans="2:14" ht="15.75" customHeight="1" x14ac:dyDescent="0.25">
      <c r="B12" s="14" t="s">
        <v>25</v>
      </c>
      <c r="C12" s="18">
        <v>3</v>
      </c>
      <c r="D12" s="18" t="s">
        <v>14</v>
      </c>
      <c r="E12" s="18">
        <v>20</v>
      </c>
      <c r="F12" s="18" t="s">
        <v>12</v>
      </c>
      <c r="G12" s="21">
        <f>(2/8)*5</f>
        <v>1.25</v>
      </c>
      <c r="H12" s="18" t="s">
        <v>12</v>
      </c>
      <c r="I12" s="18" t="s">
        <v>12</v>
      </c>
      <c r="J12" s="18" t="s">
        <v>14</v>
      </c>
      <c r="K12" s="18" t="s">
        <v>14</v>
      </c>
      <c r="L12" s="18" t="s">
        <v>12</v>
      </c>
      <c r="M12" s="18">
        <v>4</v>
      </c>
      <c r="N12" s="27">
        <v>4</v>
      </c>
    </row>
    <row r="13" spans="2:14" ht="15.75" customHeight="1" x14ac:dyDescent="0.25">
      <c r="B13" s="13" t="s">
        <v>26</v>
      </c>
      <c r="C13" s="17">
        <v>3</v>
      </c>
      <c r="D13" s="17" t="s">
        <v>12</v>
      </c>
      <c r="E13" s="17">
        <v>55</v>
      </c>
      <c r="F13" s="17" t="s">
        <v>12</v>
      </c>
      <c r="G13" s="20">
        <f>(4/8)*5</f>
        <v>2.5</v>
      </c>
      <c r="H13" s="17" t="s">
        <v>14</v>
      </c>
      <c r="I13" s="17" t="s">
        <v>12</v>
      </c>
      <c r="J13" s="17" t="s">
        <v>14</v>
      </c>
      <c r="K13" s="17" t="s">
        <v>12</v>
      </c>
      <c r="L13" s="17" t="s">
        <v>16</v>
      </c>
      <c r="M13" s="17">
        <v>4</v>
      </c>
      <c r="N13" s="12">
        <v>3</v>
      </c>
    </row>
    <row r="14" spans="2:14" ht="15.75" customHeight="1" thickBot="1" x14ac:dyDescent="0.3">
      <c r="B14" s="15" t="s">
        <v>11</v>
      </c>
      <c r="C14" s="19">
        <v>3</v>
      </c>
      <c r="D14" s="19" t="s">
        <v>12</v>
      </c>
      <c r="E14" s="19">
        <v>200</v>
      </c>
      <c r="F14" s="19" t="s">
        <v>12</v>
      </c>
      <c r="G14" s="22">
        <f>(3/8)*5</f>
        <v>1.875</v>
      </c>
      <c r="H14" s="19" t="s">
        <v>14</v>
      </c>
      <c r="I14" s="19" t="s">
        <v>12</v>
      </c>
      <c r="J14" s="19" t="s">
        <v>14</v>
      </c>
      <c r="K14" s="19" t="s">
        <v>14</v>
      </c>
      <c r="L14" s="19" t="s">
        <v>12</v>
      </c>
      <c r="M14" s="19">
        <v>4</v>
      </c>
      <c r="N14" s="28">
        <v>3</v>
      </c>
    </row>
    <row r="15" spans="2:14" ht="15.75" customHeight="1" x14ac:dyDescent="0.25">
      <c r="G15" s="7"/>
      <c r="H15" s="2"/>
      <c r="I15" s="2"/>
      <c r="J15" s="2"/>
      <c r="K15" s="2"/>
      <c r="L15" s="2"/>
    </row>
    <row r="16" spans="2:14" ht="15.75" customHeight="1" x14ac:dyDescent="0.25">
      <c r="G16" s="7"/>
      <c r="H16" s="2"/>
      <c r="I16" s="2"/>
      <c r="J16" s="2"/>
      <c r="K16" s="2"/>
      <c r="L16" s="2"/>
    </row>
    <row r="17" spans="7:12" ht="15.75" customHeight="1" x14ac:dyDescent="0.25">
      <c r="G17" s="7"/>
      <c r="H17" s="2"/>
      <c r="I17" s="2"/>
      <c r="J17" s="2"/>
      <c r="K17" s="2"/>
      <c r="L17" s="2"/>
    </row>
    <row r="18" spans="7:12" ht="15.75" customHeight="1" x14ac:dyDescent="0.25">
      <c r="G18" s="7"/>
      <c r="H18" s="2"/>
      <c r="I18" s="2"/>
      <c r="J18" s="2"/>
      <c r="K18" s="2"/>
      <c r="L18" s="2"/>
    </row>
    <row r="19" spans="7:12" ht="15.75" customHeight="1" x14ac:dyDescent="0.25">
      <c r="G19" s="7"/>
      <c r="H19" s="2"/>
      <c r="I19" s="2"/>
      <c r="J19" s="2"/>
      <c r="K19" s="2"/>
      <c r="L19" s="2"/>
    </row>
    <row r="20" spans="7:12" ht="15.75" customHeight="1" x14ac:dyDescent="0.25">
      <c r="G20" s="7"/>
      <c r="H20" s="2"/>
      <c r="I20" s="2"/>
      <c r="J20" s="2"/>
      <c r="K20" s="2"/>
      <c r="L20" s="2"/>
    </row>
    <row r="21" spans="7:12" ht="15.75" customHeight="1" x14ac:dyDescent="0.25">
      <c r="G21" s="7"/>
      <c r="H21" s="2"/>
      <c r="I21" s="2"/>
      <c r="J21" s="2"/>
      <c r="K21" s="2"/>
      <c r="L21" s="2"/>
    </row>
    <row r="22" spans="7:12" ht="15.75" customHeight="1" x14ac:dyDescent="0.25">
      <c r="H22" s="2"/>
      <c r="J22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73AC9-7CCE-4555-88C2-D6D3F9678DDA}">
  <dimension ref="B1:C15"/>
  <sheetViews>
    <sheetView tabSelected="1" topLeftCell="A15" zoomScaleNormal="100" workbookViewId="0">
      <selection activeCell="H15" sqref="H15"/>
    </sheetView>
  </sheetViews>
  <sheetFormatPr defaultRowHeight="12.5" x14ac:dyDescent="0.25"/>
  <cols>
    <col min="2" max="2" width="65.453125" customWidth="1"/>
    <col min="3" max="3" width="9.1796875" customWidth="1"/>
    <col min="5" max="5" width="40" customWidth="1"/>
  </cols>
  <sheetData>
    <row r="1" spans="2:3" ht="13" thickBot="1" x14ac:dyDescent="0.3"/>
    <row r="2" spans="2:3" ht="21.5" customHeight="1" thickBot="1" x14ac:dyDescent="0.35">
      <c r="B2" s="3" t="s">
        <v>38</v>
      </c>
      <c r="C2" s="4" t="s">
        <v>37</v>
      </c>
    </row>
    <row r="3" spans="2:3" ht="20.5" customHeight="1" thickBot="1" x14ac:dyDescent="0.3">
      <c r="B3" s="10" t="s">
        <v>41</v>
      </c>
      <c r="C3" s="9">
        <f>COUNTA('Form responses 1'!B3:B21)</f>
        <v>12</v>
      </c>
    </row>
    <row r="4" spans="2:3" ht="20.5" customHeight="1" x14ac:dyDescent="0.25">
      <c r="B4" s="5" t="s">
        <v>27</v>
      </c>
      <c r="C4" s="8">
        <f>AVERAGE('Form responses 1'!C3:C21)</f>
        <v>3.5833333333333335</v>
      </c>
    </row>
    <row r="5" spans="2:3" ht="20" customHeight="1" x14ac:dyDescent="0.25">
      <c r="B5" s="5" t="s">
        <v>28</v>
      </c>
      <c r="C5" s="8">
        <f>(COUNTIF('Form responses 1'!D3:D21, "Yes")/COUNTA('Form responses 1'!D3:D21))*5</f>
        <v>3.333333333333333</v>
      </c>
    </row>
    <row r="6" spans="2:3" ht="21" customHeight="1" x14ac:dyDescent="0.25">
      <c r="B6" s="5" t="s">
        <v>30</v>
      </c>
      <c r="C6" s="8">
        <f>(COUNTIF('Form responses 1'!F3:F21,"Yes")/COUNTA('Form responses 1'!F3:F21))*5</f>
        <v>4.583333333333333</v>
      </c>
    </row>
    <row r="7" spans="2:3" ht="21" customHeight="1" x14ac:dyDescent="0.25">
      <c r="B7" s="5" t="s">
        <v>31</v>
      </c>
      <c r="C7" s="8">
        <f>(COUNTIF('Form responses 1'!I3:I21,"Yes")/COUNTA('Form responses 1'!I3:I21))*5</f>
        <v>4.583333333333333</v>
      </c>
    </row>
    <row r="8" spans="2:3" ht="21" customHeight="1" x14ac:dyDescent="0.25">
      <c r="B8" s="5" t="s">
        <v>40</v>
      </c>
      <c r="C8" s="8">
        <f>AVERAGE(Form_Responses1[Reforms in Products to cater Young Affluent Investor Base Rating?])</f>
        <v>2.8125</v>
      </c>
    </row>
    <row r="9" spans="2:3" ht="20" customHeight="1" x14ac:dyDescent="0.25">
      <c r="B9" s="5" t="s">
        <v>39</v>
      </c>
      <c r="C9" s="8">
        <f>(COUNTIF('Form responses 1'!H3:H21,"Yes")/COUNTA('Form responses 1'!H3:H21))*5</f>
        <v>0.83333333333333326</v>
      </c>
    </row>
    <row r="10" spans="2:3" ht="20.5" customHeight="1" x14ac:dyDescent="0.25">
      <c r="B10" s="5" t="s">
        <v>31</v>
      </c>
      <c r="C10" s="8">
        <f>(COUNTIF('Form responses 1'!I3:I21,"Yes")/COUNTA('Form responses 1'!I3:I21))*5</f>
        <v>4.583333333333333</v>
      </c>
    </row>
    <row r="11" spans="2:3" ht="20" customHeight="1" x14ac:dyDescent="0.25">
      <c r="B11" s="5" t="s">
        <v>32</v>
      </c>
      <c r="C11" s="8">
        <f>(COUNTIF('Form responses 1'!J3:J21,"Yes")/COUNTA('Form responses 1'!J3:J21))*5</f>
        <v>1.25</v>
      </c>
    </row>
    <row r="12" spans="2:3" ht="20.5" customHeight="1" x14ac:dyDescent="0.25">
      <c r="B12" s="5" t="s">
        <v>33</v>
      </c>
      <c r="C12" s="8">
        <f>(COUNTIF('Form responses 1'!K3:K21, "Yes")/COUNTA('Form responses 1'!K3:K21))*5</f>
        <v>0.83333333333333326</v>
      </c>
    </row>
    <row r="13" spans="2:3" ht="20" customHeight="1" x14ac:dyDescent="0.25">
      <c r="B13" s="5" t="s">
        <v>34</v>
      </c>
      <c r="C13" s="8">
        <f>(COUNTIF('Form responses 1'!L3:L21,"Yes")/COUNTA('Form responses 1'!L3:L21))*5</f>
        <v>1.25</v>
      </c>
    </row>
    <row r="14" spans="2:3" ht="19.5" customHeight="1" x14ac:dyDescent="0.25">
      <c r="B14" s="5" t="s">
        <v>35</v>
      </c>
      <c r="C14" s="8">
        <f>MODE('Form responses 1'!M3:M21)</f>
        <v>4</v>
      </c>
    </row>
    <row r="15" spans="2:3" ht="19.5" customHeight="1" thickBot="1" x14ac:dyDescent="0.3">
      <c r="B15" s="6" t="s">
        <v>36</v>
      </c>
      <c r="C15" s="11">
        <f>AVERAGE('Form responses 1'!N3:N21)</f>
        <v>3.5</v>
      </c>
    </row>
  </sheetData>
  <conditionalFormatting sqref="C4:C1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responses 1</vt:lpstr>
      <vt:lpstr>Summary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MANOJ KUMAR RATH</cp:lastModifiedBy>
  <dcterms:modified xsi:type="dcterms:W3CDTF">2025-06-26T11:15:42Z</dcterms:modified>
</cp:coreProperties>
</file>